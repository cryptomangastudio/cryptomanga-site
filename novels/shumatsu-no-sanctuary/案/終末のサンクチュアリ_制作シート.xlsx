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キャラ設定" sheetId="2" state="visible" r:id="rId2"/>
    <sheet xmlns:r="http://schemas.openxmlformats.org/officeDocument/2006/relationships" name="世界観" sheetId="3" state="visible" r:id="rId3"/>
    <sheet xmlns:r="http://schemas.openxmlformats.org/officeDocument/2006/relationships" name="全体あらすじ" sheetId="4" state="visible" r:id="rId4"/>
    <sheet xmlns:r="http://schemas.openxmlformats.org/officeDocument/2006/relationships" name="各話あらすじ" sheetId="5" state="visible" r:id="rId5"/>
    <sheet xmlns:r="http://schemas.openxmlformats.org/officeDocument/2006/relationships" name="字コンテ_1話" sheetId="6" state="visible" r:id="rId6"/>
    <sheet xmlns:r="http://schemas.openxmlformats.org/officeDocument/2006/relationships" name="字コンテ_テンプレート" sheetId="7" state="visible" r:id="rId7"/>
  </sheets>
  <definedNames>
    <definedName name="_xlnm.Print_Titles" localSheetId="5">'字コンテ_1話'!$1:$4</definedName>
    <definedName name="_xlnm.Print_Titles" localSheetId="6">'字コンテ_テンプレート'!$1:$4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eiryo"/>
      <b val="1"/>
      <color rgb="00000000"/>
      <sz val="14"/>
    </font>
    <font>
      <name val="Meiryo"/>
      <color rgb="00000000"/>
      <sz val="10"/>
    </font>
    <font>
      <name val="Meiryo"/>
      <color rgb="007F7F7F"/>
      <sz val="9"/>
    </font>
    <font>
      <name val="Meiryo"/>
      <b val="1"/>
      <color rgb="00000000"/>
      <sz val="10"/>
    </font>
    <font>
      <name val="Meiryo"/>
      <color rgb="000000FF"/>
      <sz val="10"/>
    </font>
    <font>
      <name val="Meiryo"/>
      <b val="1"/>
      <color rgb="00000000"/>
      <sz val="13"/>
    </font>
    <font>
      <name val="Meiryo"/>
      <b val="1"/>
      <color rgb="00000000"/>
      <sz val="9"/>
    </font>
    <font>
      <name val="Meiryo"/>
      <color rgb="00000000"/>
      <sz val="9"/>
    </font>
    <font>
      <name val="Meiryo"/>
      <b val="1"/>
      <color rgb="007030A0"/>
      <sz val="10"/>
    </font>
    <font>
      <name val="Meiryo"/>
      <color rgb="00E0359C"/>
      <sz val="9"/>
    </font>
    <font>
      <name val="Meiryo"/>
      <color rgb="00FF0000"/>
      <sz val="10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F00"/>
      </patternFill>
    </fill>
    <fill>
      <patternFill patternType="solid">
        <fgColor rgb="00F4CCCC"/>
      </patternFill>
    </fill>
    <fill>
      <patternFill patternType="solid">
        <fgColor rgb="00E6B8D0"/>
      </patternFill>
    </fill>
    <fill>
      <patternFill patternType="solid">
        <fgColor rgb="00D9D2E9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horizontal="left"/>
    </xf>
    <xf numFmtId="0" fontId="4" fillId="3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4" borderId="0" pivotButton="0" quotePrefix="0" xfId="0"/>
    <xf numFmtId="0" fontId="6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8" fillId="0" borderId="1" applyAlignment="1" pivotButton="0" quotePrefix="0" xfId="0">
      <alignment horizontal="right" vertical="top"/>
    </xf>
    <xf numFmtId="0" fontId="9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right"/>
    </xf>
    <xf numFmtId="0" fontId="4" fillId="7" borderId="1" pivotButton="0" quotePrefix="0" xfId="0"/>
    <xf numFmtId="0" fontId="8" fillId="7" borderId="1" pivotButton="0" quotePrefix="0" xfId="0"/>
    <xf numFmtId="0" fontId="0" fillId="7" borderId="1" pivotButton="0" quotePrefix="0" xfId="0"/>
    <xf numFmtId="0" fontId="3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 wrapText="1" indent="1"/>
    </xf>
    <xf numFmtId="0" fontId="1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 indent="1"/>
    </xf>
    <xf numFmtId="0" fontId="4" fillId="8" borderId="1" applyAlignment="1" pivotButton="0" quotePrefix="0" xfId="0">
      <alignment horizontal="right"/>
    </xf>
    <xf numFmtId="0" fontId="4" fillId="8" borderId="1" pivotButton="0" quotePrefix="0" xfId="0"/>
    <xf numFmtId="0" fontId="8" fillId="8" borderId="1" pivotButton="0" quotePrefix="0" xfId="0"/>
    <xf numFmtId="0" fontId="0" fillId="8" borderId="1" pivotButton="0" quotePrefix="0" xfId="0"/>
    <xf numFmtId="0" fontId="11" fillId="0" borderId="1" applyAlignment="1" pivotButton="0" quotePrefix="0" xfId="0">
      <alignment vertical="top" wrapText="1"/>
    </xf>
    <xf numFmtId="0" fontId="4" fillId="9" borderId="1" applyAlignment="1" pivotButton="0" quotePrefix="0" xfId="0">
      <alignment horizontal="right"/>
    </xf>
    <xf numFmtId="0" fontId="4" fillId="9" borderId="1" pivotButton="0" quotePrefix="0" xfId="0"/>
    <xf numFmtId="0" fontId="8" fillId="9" borderId="1" pivotButton="0" quotePrefix="0" xfId="0"/>
    <xf numFmtId="0" fontId="0" fillId="9" borderId="1" pivotButton="0" quotePrefix="0" xfId="0"/>
    <xf numFmtId="0" fontId="4" fillId="3" borderId="1" applyAlignment="1" pivotButton="0" quotePrefix="0" xfId="0">
      <alignment horizontal="right"/>
    </xf>
    <xf numFmtId="0" fontId="4" fillId="3" borderId="1" pivotButton="0" quotePrefix="0" xfId="0"/>
    <xf numFmtId="0" fontId="8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32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  <col width="34" customWidth="1" min="4" max="4"/>
  </cols>
  <sheetData>
    <row r="1">
      <c r="B1" s="1" t="inlineStr">
        <is>
          <t>『終末のサンクチュアリ』制作シート</t>
        </is>
      </c>
    </row>
    <row r="2">
      <c r="B2" s="2" t="inlineStr">
        <is>
          <t>物語の設定、あらすじ、字コンテを、このファイル1つで管理する(2026-10-25、ユーザーの指示)。小説は、このファイルのあとに書く。</t>
        </is>
      </c>
    </row>
    <row r="3">
      <c r="B3" s="3" t="inlineStr">
        <is>
          <t>青字の数字は入力(変えてよい)。そのほかは式か、書き込む内容。</t>
        </is>
      </c>
    </row>
    <row r="4">
      <c r="B4" s="4" t="inlineStr">
        <is>
          <t>設定(目安)</t>
        </is>
      </c>
      <c r="C4" s="4" t="inlineStr">
        <is>
          <t>文字数</t>
        </is>
      </c>
      <c r="D4" s="4" t="inlineStr">
        <is>
          <t>出どころ</t>
        </is>
      </c>
    </row>
    <row r="5">
      <c r="B5" s="2" t="inlineStr">
        <is>
          <t>導入の目安</t>
        </is>
      </c>
      <c r="C5" s="5" t="n">
        <v>500</v>
      </c>
      <c r="D5" s="3" t="inlineStr">
        <is>
          <t>参考PDF「500文字以内」</t>
        </is>
      </c>
    </row>
    <row r="6">
      <c r="B6" s="2" t="inlineStr">
        <is>
          <t>山場1の目安</t>
        </is>
      </c>
      <c r="C6" s="5" t="n">
        <v>1000</v>
      </c>
      <c r="D6" s="3" t="inlineStr">
        <is>
          <t>参考PDF「1000文字以内」</t>
        </is>
      </c>
    </row>
    <row r="7">
      <c r="B7" s="2" t="inlineStr">
        <is>
          <t>山場2の目安</t>
        </is>
      </c>
      <c r="C7" s="5" t="n">
        <v>1000</v>
      </c>
      <c r="D7" s="3" t="inlineStr">
        <is>
          <t>参考PDF「1000文字以内」</t>
        </is>
      </c>
    </row>
    <row r="8">
      <c r="B8" s="2" t="inlineStr">
        <is>
          <t>ヒキの目安</t>
        </is>
      </c>
      <c r="C8" s="5" t="n">
        <v>500</v>
      </c>
      <c r="D8" s="3" t="inlineStr">
        <is>
          <t>参考PDF「500文字以内」</t>
        </is>
      </c>
    </row>
    <row r="9">
      <c r="B9" s="2" t="inlineStr">
        <is>
          <t>字コンテ1話の合計(下限)</t>
        </is>
      </c>
      <c r="C9" s="5" t="n">
        <v>2000</v>
      </c>
      <c r="D9" s="3" t="inlineStr">
        <is>
          <t>参考PDF「2〜3000文字程度」</t>
        </is>
      </c>
    </row>
    <row r="10">
      <c r="B10" s="2" t="inlineStr">
        <is>
          <t>字コンテ1話の合計(上限)</t>
        </is>
      </c>
      <c r="C10" s="5" t="n">
        <v>3000</v>
      </c>
      <c r="D10" s="3" t="inlineStr">
        <is>
          <t>参考PDF「2〜3000文字程度」</t>
        </is>
      </c>
    </row>
    <row r="11">
      <c r="B11" s="2" t="inlineStr">
        <is>
          <t>各話あらすじの目安</t>
        </is>
      </c>
      <c r="C11" s="5" t="n">
        <v>500</v>
      </c>
      <c r="D11" s="3" t="inlineStr">
        <is>
          <t>2つ目の参考PDF(約500字)</t>
        </is>
      </c>
    </row>
    <row r="12">
      <c r="B12" s="2" t="inlineStr">
        <is>
          <t>全体あらすじの上限</t>
        </is>
      </c>
      <c r="C12" s="5" t="n">
        <v>1500</v>
      </c>
      <c r="D12" s="3" t="inlineStr">
        <is>
          <t>CLAUDE.md「長くても1,500字まで」</t>
        </is>
      </c>
    </row>
    <row r="14">
      <c r="B14" s="6" t="inlineStr">
        <is>
          <t>制作のルーティン</t>
        </is>
      </c>
    </row>
    <row r="15">
      <c r="B15" s="7" t="inlineStr">
        <is>
          <t>1 設定(キャラ設定・世界観)</t>
        </is>
      </c>
      <c r="C15" s="8" t="inlineStr">
        <is>
          <t>物語に必要な設定の正本。ここに書いたことだけを使う。足したいときは、先にチャットで提案して、許可をもらう</t>
        </is>
      </c>
      <c r="D15" s="9" t="inlineStr">
        <is>
          <t>「キャラ設定」「世界観」</t>
        </is>
      </c>
    </row>
    <row r="16">
      <c r="B16" s="7" t="inlineStr">
        <is>
          <t>2 全体あらすじ</t>
        </is>
      </c>
      <c r="C16" s="8" t="inlineStr">
        <is>
          <t>世界の状況 → 主人公 → 目的の順に、何も知らない人が読んで分かるように書く。1,500字まで</t>
        </is>
      </c>
      <c r="D16" s="9" t="inlineStr">
        <is>
          <t>「全体あらすじ」</t>
        </is>
      </c>
    </row>
    <row r="17">
      <c r="B17" s="7" t="inlineStr">
        <is>
          <t>3 各話あらすじ</t>
        </is>
      </c>
      <c r="C17" s="8" t="inlineStr">
        <is>
          <t>各話、約500字。「やりたいこと」と、1導入・2山場1・3山場2・4ヒキ</t>
        </is>
      </c>
      <c r="D17" s="9" t="inlineStr">
        <is>
          <t>「各話あらすじ」</t>
        </is>
      </c>
    </row>
    <row r="18">
      <c r="B18" s="7" t="inlineStr">
        <is>
          <t>4 字コンテ</t>
        </is>
      </c>
      <c r="C18" s="8" t="inlineStr">
        <is>
          <t>セリフとト書きを1行ずつ書く。1話2,000〜3,000字。赤字・青字の指定つき</t>
        </is>
      </c>
      <c r="D18" s="9" t="inlineStr">
        <is>
          <t>「字コンテ_○話」</t>
        </is>
      </c>
    </row>
    <row r="19">
      <c r="B19" s="7" t="inlineStr">
        <is>
          <t>5 小説に書き起こす</t>
        </is>
      </c>
      <c r="C19" s="8" t="inlineStr">
        <is>
          <t>字コンテの出来事と台詞から外れない。外れたいときは、先に字コンテを直す</t>
        </is>
      </c>
      <c r="D19" s="9" t="inlineStr">
        <is>
          <t>novels/ の本文</t>
        </is>
      </c>
    </row>
    <row r="20">
      <c r="C20" s="10" t="inlineStr">
        <is>
          <t>どの段階も、ユーザーのOKが出てから次へ進む。前の段階を直したら、あとの段階も合わせて直す。</t>
        </is>
      </c>
    </row>
    <row r="22">
      <c r="B22" s="11" t="inlineStr">
        <is>
          <t>参考PDFの分析</t>
        </is>
      </c>
      <c r="C22" s="11" t="inlineStr">
        <is>
          <t>内容</t>
        </is>
      </c>
      <c r="D22" s="11" t="inlineStr">
        <is>
          <t>確かさ</t>
        </is>
      </c>
    </row>
    <row r="23">
      <c r="B23" s="7" t="inlineStr">
        <is>
          <t>字コンテとは</t>
        </is>
      </c>
      <c r="C23" s="8" t="inlineStr">
        <is>
          <t>ネーム・作画担当さま向けの、1話ぶんのシナリオ設計シート。セリフとト書きを1行ずつ書く。見出しは、サブタイトルと、話の目的/見せたいもの</t>
        </is>
      </c>
      <c r="D23" s="9" t="inlineStr">
        <is>
          <t>推測</t>
        </is>
      </c>
    </row>
    <row r="24">
      <c r="B24" s="7" t="inlineStr">
        <is>
          <t>列と構成</t>
        </is>
      </c>
      <c r="C24" s="8" t="inlineStr">
        <is>
          <t>A文字数/B話者/Cシナリオ内容/Dキャラ情報/E心情・表情・演出プラン/F備考。導入・山場1・山場2・ヒキの4ブロックで、ブロックごとに小計(例:548+681+437+332=1998字、セリフ54)</t>
        </is>
      </c>
      <c r="D24" s="9" t="inlineStr">
        <is>
          <t>確認</t>
        </is>
      </c>
    </row>
    <row r="25">
      <c r="B25" s="7" t="inlineStr">
        <is>
          <t>色</t>
        </is>
      </c>
      <c r="C25" s="8" t="inlineStr">
        <is>
          <t>赤字=魅せゴマ・キメ台詞(各ブロックに1つ以上)/青字=一番の見せ場(1つ)/ピンク字=強調(用途の説明なし)</t>
        </is>
      </c>
      <c r="D25" s="9" t="inlineStr">
        <is>
          <t>赤・青は確認</t>
        </is>
      </c>
    </row>
    <row r="26">
      <c r="B26" s="7" t="inlineStr">
        <is>
          <t>心情</t>
        </is>
      </c>
      <c r="C26" s="8" t="inlineStr">
        <is>
          <t>目に見えないものは、セリフと演技で表す</t>
        </is>
      </c>
      <c r="D26" s="9" t="inlineStr">
        <is>
          <t>確認</t>
        </is>
      </c>
    </row>
    <row r="27">
      <c r="B27" s="7" t="inlineStr">
        <is>
          <t>各話あらすじ</t>
        </is>
      </c>
      <c r="C27" s="8" t="inlineStr">
        <is>
          <t>「やりたいこと」1〜2行+1〜4の番号つき4項目(4はヒキ)で約500字。前の話を指す書き方と、要の台詞の引用がある</t>
        </is>
      </c>
      <c r="D27" s="9" t="inlineStr">
        <is>
          <t>確認</t>
        </is>
      </c>
    </row>
    <row r="29">
      <c r="B29" s="6" t="inlineStr">
        <is>
          <t>提出前の自己点検</t>
        </is>
      </c>
    </row>
    <row r="30">
      <c r="C30" s="8" t="inlineStr">
        <is>
          <t>字コンテ: 合計が目安の範囲か/赤字が導入・山場・ヒキに1つ以上あるか/青字が1つか/ミナの台詞に数字がないか</t>
        </is>
      </c>
    </row>
    <row r="31">
      <c r="C31" s="8" t="inlineStr">
        <is>
          <t>全話共通: 確定事項と衝突していないか(CLAUDE.md)/設定にないことを足していないか/読者が予想する展開10個を出して避けたか</t>
        </is>
      </c>
    </row>
    <row r="32">
      <c r="C32" s="8" t="inlineStr">
        <is>
          <t>色: 赤=魅せゴマ・キメ台詞、青=一番の見せ場。E列の「★」で始まる行はピンクで出る(強調したい表情・演出)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0" customWidth="1" min="4" max="4"/>
    <col width="40" customWidth="1" min="5" max="5"/>
    <col width="34" customWidth="1" min="6" max="6"/>
    <col width="24" customWidth="1" min="7" max="7"/>
    <col width="18" customWidth="1" min="8" max="8"/>
  </cols>
  <sheetData>
    <row r="1">
      <c r="A1" s="12" t="inlineStr">
        <is>
          <t>キャラ設定(正本)</t>
        </is>
      </c>
    </row>
    <row r="2">
      <c r="A2" s="3" t="inlineStr">
        <is>
          <t>CLAUDE.mdの確定事項から転記。ここに無いことは足さない。足したいときは、先にチャットで提案する。</t>
        </is>
      </c>
    </row>
    <row r="4">
      <c r="A4" s="13" t="inlineStr">
        <is>
          <t>名前</t>
        </is>
      </c>
      <c r="B4" s="13" t="inlineStr">
        <is>
          <t>役割</t>
        </is>
      </c>
      <c r="C4" s="13" t="inlineStr">
        <is>
          <t>見た目</t>
        </is>
      </c>
      <c r="D4" s="13" t="inlineStr">
        <is>
          <t>性格・行動原理</t>
        </is>
      </c>
      <c r="E4" s="13" t="inlineStr">
        <is>
          <t>口調・台詞</t>
        </is>
      </c>
      <c r="F4" s="13" t="inlineStr">
        <is>
          <t>やらないこと・禁止</t>
        </is>
      </c>
      <c r="G4" s="13" t="inlineStr">
        <is>
          <t>呼び方</t>
        </is>
      </c>
      <c r="H4" s="13" t="inlineStr">
        <is>
          <t>出どころ</t>
        </is>
      </c>
    </row>
    <row r="5" ht="170" customHeight="1">
      <c r="A5" s="14" t="inlineStr">
        <is>
          <t>ミナ(水守ミナ)</t>
        </is>
      </c>
      <c r="B5" s="15" t="inlineStr">
        <is>
          <t>主人公。19歳。地下の浄水施設で水質を管理してきた一族の娘</t>
        </is>
      </c>
      <c r="C5" s="15" t="inlineStr">
        <is>
          <t>身長162cm、細身。青白い肌。地上に出て首筋が赤く日焼けしている。手は冷水で赤く悴み、爪は深爪ぎりぎりで土汚れがない。煮沸した綿布と乾いた灰のにおい。腰に水質計測具を吊るす</t>
        </is>
      </c>
      <c r="D5" s="15" t="inlineStr">
        <is>
          <t>感情の起伏が極端に薄い(低体温・マイペース)。怯えない。刃物を向けられても「危ないですよ」と平熱で返す。体は華奢で、小突かれたら死ぬ。自分を大切にする発想がなく、自分の水を平気でゼロにする。核は、腐敗や不衛生を放置するのが許せない職人の感覚(生活を回復させたい)</t>
        </is>
      </c>
      <c r="E5" s="15" t="inlineStr">
        <is>
          <t>敬体・短文・平熱。怒鳴らない、取り乱さない、媚びない。決め台詞:「その手で、私に触らないでください」「わざわざ、痛い思いをしないでください」「まず、人間に戻りましょう」「洗えば、戻ります」「手入れのできない人は、嫌いです」</t>
        </is>
      </c>
      <c r="F5" s="15" t="inlineStr">
        <is>
          <t>怯えて口を塞ぐ、腰を抜かす/「怖い」「愛しい」などの感傷的な独白/台詞に数字を入れない(日数や水量はロクゾウ)</t>
        </is>
      </c>
      <c r="G5" s="15" t="inlineStr">
        <is>
          <t>ヨシノ→ミナ:お嬢様
ロクゾウ→ミナ:お嬢さん(のちに姐さん)</t>
        </is>
      </c>
      <c r="H5" s="15" t="inlineStr">
        <is>
          <t>2026-10-25 最終仕様</t>
        </is>
      </c>
    </row>
    <row r="6" ht="170" customHeight="1">
      <c r="A6" s="14" t="inlineStr">
        <is>
          <t>ハル</t>
        </is>
      </c>
      <c r="B6" s="15" t="inlineStr">
        <is>
          <t>ヒーロー。略奪団のボス</t>
        </is>
      </c>
      <c r="C6" s="15" t="inlineStr">
        <is>
          <t>王子様のような美青年。髪は洗えば淡い金。灰青の切れ長の目。ただし野獣感は残す。左肩に傷</t>
        </is>
      </c>
      <c r="D6" s="15" t="inlineStr">
        <is>
          <t>地上でただ一人、ものすごく賢い切れ者。弱みを隠していたから、傷で死にかけた(弱ったボスは手下に寝首をかかれる)。暴力で世界を支配してきたので、命乞いする人と敵しか知らない。怯えず、媚びず、自分を消毒して飯を食わせるミナに、異常な過保護になる。早い段階でミナを選び、はっきり溺愛する</t>
        </is>
      </c>
      <c r="E6" s="15" t="inlineStr">
        <is>
          <t>無口にしない。「口が悪い・声が大きい・俺の嫁だ」型のテンプレにしない。宣言は「お前を、妻にする」。意味は説明しない。話の要所の台詞はハルが言う</t>
        </is>
      </c>
      <c r="F6" s="15" t="inlineStr">
        <is>
          <t>「番」は使わない。花嫁衣装を黙って差し出す場面はやめた。「名前がない」「番号で呼ばれて育った」設定はやめた</t>
        </is>
      </c>
      <c r="G6" s="15" t="inlineStr">
        <is>
          <t>「ハルヴァルド・オルセン」の名は残す(「ハル」との関係は未決)</t>
        </is>
      </c>
      <c r="H6" s="15" t="inlineStr">
        <is>
          <t>CLAUDE.md 確定</t>
        </is>
      </c>
    </row>
    <row r="7" ht="170" customHeight="1">
      <c r="A7" s="14" t="inlineStr">
        <is>
          <t>ヨシノ</t>
        </is>
      </c>
      <c r="B7" s="15" t="inlineStr">
        <is>
          <t>ミナの従者。女性</t>
        </is>
      </c>
      <c r="C7" s="15" t="inlineStr">
        <is>
          <t>(未設定)</t>
        </is>
      </c>
      <c r="D7" s="15" t="inlineStr">
        <is>
          <t>腕が立つ。怒りの起点は「ミナが自分を粗末にしていること」だけ。トピックを飛ばさせない</t>
        </is>
      </c>
      <c r="E7" s="15" t="inlineStr">
        <is>
          <t>ミナには敬語。「お嬢様」と呼ぶ</t>
        </is>
      </c>
      <c r="F7" s="15" t="inlineStr">
        <is>
          <t>怒りの起点を増やさない</t>
        </is>
      </c>
      <c r="G7" s="15" t="inlineStr">
        <is>
          <t>ヨシノ→ミナ:お嬢様</t>
        </is>
      </c>
      <c r="H7" s="15" t="inlineStr">
        <is>
          <t>CLAUDE.md 確定</t>
        </is>
      </c>
    </row>
    <row r="8" ht="170" customHeight="1">
      <c r="A8" s="14" t="inlineStr">
        <is>
          <t>ロクゾウ</t>
        </is>
      </c>
      <c r="B8" s="15" t="inlineStr">
        <is>
          <t>ハルの右腕(手下)。痩せた男</t>
        </is>
      </c>
      <c r="C8" s="15" t="inlineStr">
        <is>
          <t>痩せている。指を折って数える</t>
        </is>
      </c>
      <c r="D8" s="15" t="inlineStr">
        <is>
          <t>数えないと眠れない。ロクゾウだけが数字を口にする。ハルの手下の中では、現実的で損得を見る</t>
        </is>
      </c>
      <c r="E8" s="15" t="inlineStr">
        <is>
          <t>くだけた口調。「お嬢さん方」「姐さん」</t>
        </is>
      </c>
      <c r="F8" s="15" t="inlineStr">
        <is>
          <t>要所を持っていかせない</t>
        </is>
      </c>
      <c r="G8" s="15" t="inlineStr">
        <is>
          <t>ロクゾウ→ミナ:お嬢さん方(1話)/姐さん(8話ごろ)</t>
        </is>
      </c>
      <c r="H8" s="15" t="inlineStr">
        <is>
          <t>CLAUDE.md 確定(一部は旧あらすじ)</t>
        </is>
      </c>
    </row>
    <row r="9" ht="170" customHeight="1">
      <c r="A9" s="14" t="inlineStr">
        <is>
          <t>イオリ</t>
        </is>
      </c>
      <c r="B9" s="15" t="inlineStr">
        <is>
          <t>ミナの婚約者。町を襲わせた人物</t>
        </is>
      </c>
      <c r="C9" s="15" t="inlineStr">
        <is>
          <t>(未設定。1話では描かない)</t>
        </is>
      </c>
      <c r="D9" s="15" t="inlineStr">
        <is>
          <t>小物のヒール。町を襲わせた理由は、しょぼくて胸くそ悪いもの(馬鹿にされた、皆に笑われたのが悔しかった、など)。地上に出た理由は未決(町でしてはいけないことをして、罪から逃げる方向)</t>
        </is>
      </c>
      <c r="E9" s="15" t="inlineStr">
        <is>
          <t>(未設定)</t>
        </is>
      </c>
      <c r="F9" s="15" t="inlineStr">
        <is>
          <t>第1話ではイオリを描かない。町を襲わせたとミナが知るのは、再会のとき、本人の口から</t>
        </is>
      </c>
      <c r="G9" s="15" t="inlineStr">
        <is>
          <t>ミナ→イオリ:あなた</t>
        </is>
      </c>
      <c r="H9" s="15" t="inlineStr">
        <is>
          <t>CLAUDE.md 確定</t>
        </is>
      </c>
    </row>
    <row r="10" ht="170" customHeight="1">
      <c r="A10" s="14" t="inlineStr">
        <is>
          <t>ゴロウ</t>
        </is>
      </c>
      <c r="B10" s="15" t="inlineStr">
        <is>
          <t>荒野の別の略奪団の頭。敵</t>
        </is>
      </c>
      <c r="C10" s="15" t="inlineStr">
        <is>
          <t>(未設定)</t>
        </is>
      </c>
      <c r="D10" s="15" t="inlineStr">
        <is>
          <t>ハルが子どものころ缶詰を奪われた男(旧あらすじより)。ミナの水を欲しがる</t>
        </is>
      </c>
      <c r="E10" s="15" t="inlineStr">
        <is>
          <t>(未設定)</t>
        </is>
      </c>
      <c r="F10" s="15" t="inlineStr">
        <is>
          <t>(未設定)</t>
        </is>
      </c>
      <c r="G10" s="15" t="inlineStr">
        <is>
          <t>(未設定)</t>
        </is>
      </c>
      <c r="H10" s="15" t="inlineStr">
        <is>
          <t>仮置き(旧あらすじ第9稿)</t>
        </is>
      </c>
    </row>
    <row r="11" ht="170" customHeight="1">
      <c r="A11" s="14" t="inlineStr">
        <is>
          <t>叔父</t>
        </is>
      </c>
      <c r="B11" s="15" t="inlineStr">
        <is>
          <t>ミナの叔父。1話のみ</t>
        </is>
      </c>
      <c r="C11" s="15" t="inlineStr">
        <is>
          <t>袖口に継ぎ当てのある上着。目尻に皺</t>
        </is>
      </c>
      <c r="D11" s="15" t="inlineStr">
        <is>
          <t>ミナを笑わせて帰る。夜、通路で死体になっている</t>
        </is>
      </c>
      <c r="E11" s="15" t="inlineStr">
        <is>
          <t>くだけた口調</t>
        </is>
      </c>
      <c r="F11" s="15" t="inlineStr">
        <is>
          <t>(なし)</t>
        </is>
      </c>
      <c r="G11" s="15" t="inlineStr">
        <is>
          <t>(なし)</t>
        </is>
      </c>
      <c r="H11" s="15" t="inlineStr">
        <is>
          <t>1話の本文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  <col width="22" customWidth="1" min="3" max="3"/>
  </cols>
  <sheetData>
    <row r="1">
      <c r="A1" s="12" t="inlineStr">
        <is>
          <t>世界観(正本)</t>
        </is>
      </c>
    </row>
    <row r="2">
      <c r="A2" s="3" t="inlineStr">
        <is>
          <t>CLAUDE.mdの確定事項から転記。ここに無いことは足さない。</t>
        </is>
      </c>
    </row>
    <row r="4">
      <c r="A4" s="13" t="inlineStr">
        <is>
          <t>項目</t>
        </is>
      </c>
      <c r="B4" s="13" t="inlineStr">
        <is>
          <t>内容</t>
        </is>
      </c>
      <c r="C4" s="13" t="inlineStr">
        <is>
          <t>確かさ</t>
        </is>
      </c>
    </row>
    <row r="5" ht="48" customHeight="1">
      <c r="A5" s="14" t="inlineStr">
        <is>
          <t>舞台</t>
        </is>
      </c>
      <c r="B5" s="15" t="inlineStr">
        <is>
          <t>300年後の日本。国名・地名は出さない。地上は人種が混ざっている(理由は未決)</t>
        </is>
      </c>
      <c r="C5" s="15" t="inlineStr">
        <is>
          <t>確定</t>
        </is>
      </c>
    </row>
    <row r="6" ht="48" customHeight="1">
      <c r="A6" s="14" t="inlineStr">
        <is>
          <t>地下の町</t>
        </is>
      </c>
      <c r="B6" s="15" t="inlineStr">
        <is>
          <t>300年間、誰も地上に出ていない。町は、みんなの飲み水を守る家(ミナの家)が水を調べている</t>
        </is>
      </c>
      <c r="C6" s="15" t="inlineStr">
        <is>
          <t>確定</t>
        </is>
      </c>
    </row>
    <row r="7" ht="48" customHeight="1">
      <c r="A7" s="14" t="inlineStr">
        <is>
          <t>町の掟</t>
        </is>
      </c>
      <c r="B7" s="15" t="inlineStr">
        <is>
          <t>外では人は生きられない。扉は開けてはならない。だから300年、誰も外に出なかった</t>
        </is>
      </c>
      <c r="C7" s="15" t="inlineStr">
        <is>
          <t>確定(2026-10-06)</t>
        </is>
      </c>
    </row>
    <row r="8" ht="48" customHeight="1">
      <c r="A8" s="14" t="inlineStr">
        <is>
          <t>町の滅亡</t>
        </is>
      </c>
      <c r="B8" s="15" t="inlineStr">
        <is>
          <t>出口を開けたのはイオリ(時期は最近。日数は未決)。地上の人間たちに襲われ、人々はほとんど殺される。町は滅んだままでよい。町に生き残った人はいない</t>
        </is>
      </c>
      <c r="C8" s="15" t="inlineStr">
        <is>
          <t>確定</t>
        </is>
      </c>
    </row>
    <row r="9" ht="48" customHeight="1">
      <c r="A9" s="14" t="inlineStr">
        <is>
          <t>地上</t>
        </is>
      </c>
      <c r="B9" s="15" t="inlineStr">
        <is>
          <t>乾いた荒野。未知数。1話の空は、澄んだ夜明け</t>
        </is>
      </c>
      <c r="C9" s="15" t="inlineStr">
        <is>
          <t>確定</t>
        </is>
      </c>
    </row>
    <row r="10" ht="48" customHeight="1">
      <c r="A10" s="14" t="inlineStr">
        <is>
          <t>町の跡</t>
        </is>
      </c>
      <c r="B10" s="15" t="inlineStr">
        <is>
          <t>領地を広げる途中で、見に行くパートがある(48話)。取りに行くものはなし</t>
        </is>
      </c>
      <c r="C10" s="15" t="inlineStr">
        <is>
          <t>確定</t>
        </is>
      </c>
    </row>
    <row r="11" ht="48" customHeight="1">
      <c r="A11" s="14" t="inlineStr">
        <is>
          <t>契約(縛り)</t>
        </is>
      </c>
      <c r="B11" s="15" t="inlineStr">
        <is>
          <t>ミナの条件:自分のいる場所では誰も殺さない(理由は、水が汚れるから)。期限:イオリが見つかるまで。ハルは探すのを手伝い、ミナは水を作る。ミナは「妻」を契約上の呼び名と受け取る。契約の印は手当て</t>
        </is>
      </c>
      <c r="C11" s="15" t="inlineStr">
        <is>
          <t>確定(2026-10-25)</t>
        </is>
      </c>
    </row>
    <row r="12" ht="48" customHeight="1">
      <c r="A12" s="14" t="inlineStr">
        <is>
          <t>契約の終わり(ラスト)</t>
        </is>
      </c>
      <c r="B12" s="15" t="inlineStr">
        <is>
          <t>契約の期限は、再会(62話)の日に終わっていた。ミナはラストで気づく。気づかなかった理由は、契約の目的が済んだから(仮置き)</t>
        </is>
      </c>
      <c r="C12" s="15" t="inlineStr">
        <is>
          <t>仮置き</t>
        </is>
      </c>
    </row>
    <row r="13" ht="48" customHeight="1">
      <c r="A13" s="14" t="inlineStr">
        <is>
          <t>外に出たあと</t>
        </is>
      </c>
      <c r="B13" s="15" t="inlineStr">
        <is>
          <t>領地経営の物語。人が集まり、領地が広がる。たまに外から襲われ、こちらから広げにも行く。重い話にしない</t>
        </is>
      </c>
      <c r="C13" s="15" t="inlineStr">
        <is>
          <t>確定(2026-10-09)</t>
        </is>
      </c>
    </row>
    <row r="14" ht="48" customHeight="1">
      <c r="A14" s="14" t="inlineStr">
        <is>
          <t>型</t>
        </is>
      </c>
      <c r="B14" s="15" t="inlineStr">
        <is>
          <t>1〜15話は必中型の骨格(訳アリの縛り、当て馬、じれ溺愛)。16話以降は領地経営のループ。100話は維持</t>
        </is>
      </c>
      <c r="C14" s="15" t="inlineStr">
        <is>
          <t>確定(2026-10-25)</t>
        </is>
      </c>
    </row>
    <row r="15" ht="48" customHeight="1">
      <c r="A15" s="14" t="inlineStr">
        <is>
          <t>連載先と文体</t>
        </is>
      </c>
      <c r="B15" s="15" t="inlineStr">
        <is>
          <t>小説版はなろう連載。台詞稿はやめ、普通の小説の文章で書く。1話の視点は、ミナ視点(三人称限定)。一人称への書き直しは検討中</t>
        </is>
      </c>
      <c r="C15" s="15" t="inlineStr">
        <is>
          <t>確定/検討中</t>
        </is>
      </c>
    </row>
    <row r="16" ht="48" customHeight="1">
      <c r="A16" s="14" t="inlineStr">
        <is>
          <t>ラスト</t>
        </is>
      </c>
      <c r="B16" s="15" t="inlineStr">
        <is>
          <t>期限の発覚 → 洗わずに握る → 1話の朝をもう一度。ハルは「妻」の意味を言葉で説明しない。最後の台詞は「澄んでいます。明日も、使えます」(要確認)</t>
        </is>
      </c>
      <c r="C16" s="15" t="inlineStr">
        <is>
          <t>確定/要確認</t>
        </is>
      </c>
    </row>
    <row r="17" ht="48" customHeight="1">
      <c r="A17" s="14" t="inlineStr">
        <is>
          <t>言葉の使い方</t>
        </is>
      </c>
      <c r="B17" s="15" t="inlineStr">
        <is>
          <t>ミナの台詞に数字を入れない。作中の俗語(「野良」など)は使わない。「番」は使わない</t>
        </is>
      </c>
      <c r="C17" s="15" t="inlineStr">
        <is>
          <t>確定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0" customWidth="1" min="1" max="1"/>
    <col width="18" customWidth="1" min="2" max="2"/>
  </cols>
  <sheetData>
    <row r="1">
      <c r="A1" s="12" t="inlineStr">
        <is>
          <t>全体あらすじ(第11稿・未承認)</t>
        </is>
      </c>
    </row>
    <row r="2">
      <c r="A2" s="3" t="inlineStr">
        <is>
          <t>ミナの最終仕様(怯えない)に合わせて、第10稿から直した。出来事だけ。台詞は確定したものだけ。</t>
        </is>
      </c>
    </row>
    <row r="4" ht="30" customHeight="1">
      <c r="A4" s="8" t="inlineStr">
        <is>
          <t>文明が滅んで三百年。地上は乾いた荒野になり、人々の一部は、地下の町に逃げこんで暮らしてきた。町には掟がある。外では人は生きられない。だから出口の扉は開けてはならない。三百年のあいだ、誰も外に出なかった。</t>
        </is>
      </c>
      <c r="B4" s="10" t="inlineStr">
        <is>
          <t>字数</t>
        </is>
      </c>
    </row>
    <row r="5" ht="30" customHeight="1">
      <c r="A5" s="8" t="inlineStr">
        <is>
          <t>ミナ(十九歳)は、その町で、みんなの飲み水を守ってきた家の娘。感情の起伏が薄く、何があっても怯えない。汚れた水やけがを見ると、考えるより先に手が動く。町の決めた婚約者イオリとの婚礼を控えた、最後の朝だった。</t>
        </is>
      </c>
      <c r="B5" s="16">
        <f>SUMPRODUCT(LEN(A4:A11))&amp;"字"</f>
        <v/>
      </c>
    </row>
    <row r="6" ht="75" customHeight="1">
      <c r="A6" s="8" t="inlineStr">
        <is>
          <t>その夜、開くはずのない扉が開き、地上の略奪者が町になだれこむ。町の人はほとんど殺される。ミナは従者のヨシノに手を引かれて地上へ逃げるが、荒野で盗賊に囲まれ、売り物として値踏みされる。そこへ王子様のように美しい青年が現れ、盗賊を追い払う。彼こそ荒野で恐れられる略奪団のボス、この物語のヒーローのハルだった。助けたのではなく、自分たちの売り物にするためだった。その汚れた手が伸びたとき、ミナは平熱のまま言う。「その手で、私に触らないでください」。ハルは怒らず、手を引く。</t>
        </is>
      </c>
      <c r="B6" s="17">
        <f>"上限 "&amp;使い方!$C$12&amp;"字"&amp;IF(SUMPRODUCT(LEN(A4:A11))&gt;使い方!$C$12,"(超過)","(範囲内)")</f>
        <v/>
      </c>
    </row>
    <row r="7" ht="60" customHeight="1">
      <c r="A7" s="8" t="inlineStr">
        <is>
          <t>ハルは荒野一の切れ者なのに、弱いところを見せまいと傷を隠し、死にかけていた。ミナが傷を洗って命を救うと、ハルは言う。「お前を、妻にする」。意味の説明はない。ミナは、イオリが生きているのかを確かめたい。ハルは、探すのを手伝う代わりに、ミナに水を作らせる。ミナが出した条件は、自分のいる場所では誰も殺さないこと。期限は、イオリが見つかるまで。ミナは「妻」を、契約上の呼び名だと受け取る。</t>
        </is>
      </c>
    </row>
    <row r="8" ht="75" customHeight="1">
      <c r="A8" s="8" t="inlineStr">
        <is>
          <t>ミナは、傷を腐らせていた薬を捨てさせ、水をきれいにし、手下たちに水を飲ませていく。ハルは何にでも「なぜだ」と聞き、ミナに手を洗われる。そこへ、荒野の別の略奪団の頭、ゴロウの使いが現れ、水場を寄こせと迫る。ミナは使いの水の悪さを言い当てる。続いて、偵察が置いていった手紙が届く。署名はイオリ。居場所はなく、迎えをやる、とだけ。ミナは本人のものか確信が持てず、隠したまま水を汲む。ハルは紙を見ず、ミナの顔色だけを察して席を外す。ゴロウの一団が迫る夜、ミナは水の危険を見抜いてハルの作戦を直し、一団は退く。</t>
        </is>
      </c>
    </row>
    <row r="9" ht="45" customHeight="1">
      <c r="A9" s="8" t="inlineStr">
        <is>
          <t>ここから先は領地の物語になる。水を求めて人が集まり、領地は広がり、ミナはトマトを育てる。ときどき外から襲われ、こちらから広げにも行く。町の跡を見に行った日、生き残った人は一人もいなかった。ハルは、肩を切られた夜に自分から傷を見せに来て、初めてミナの名を呼ぶ。</t>
        </is>
      </c>
    </row>
    <row r="10" ht="60" customHeight="1">
      <c r="A10" s="8" t="inlineStr">
        <is>
          <t>ミナは自分で決めて、イオリに会いに行く。町を襲わせたのは、彼だった。本人が、そう言った。皆に笑われたのが悔しかった、という子どもじみた理由だった。イオリはゴロウに切り捨てられ、ゴロウは領地の集落を取り上げ、ミナをさらう。閉じこめられた先でも、ミナは汚れた水をきれいにし、けが人を洗う。ゴロウの手下が、少しずつミナの側につく。ハルは作戦を立てて乗りこみ、ミナは最後に自分で決める。</t>
        </is>
      </c>
    </row>
    <row r="11" ht="60" customHeight="1">
      <c r="A11" s="8" t="inlineStr">
        <is>
          <t>そのあと、ハルの右腕ロクゾウが何気なく日数を数えて口にする。イオリと会った日から、もう何日も経っている。ミナは遅れて気づく。契約の期限は、再会の日に終わっていた。ハルは、期限が過ぎても言い出さなかった。ミナは、泥だらけのハルの手を、洗わずに握る。翌朝、水場で水を小瓶に汲み、灯りにかざす。「澄んでいます。明日も、使えます」。昨日と同じ明日を、ミナは今日、自分で選んでいる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4" customWidth="1" min="7" max="7"/>
    <col width="9" customWidth="1" min="8" max="8"/>
    <col width="14" customWidth="1" min="9" max="9"/>
  </cols>
  <sheetData>
    <row r="1">
      <c r="A1" s="12" t="inlineStr">
        <is>
          <t>各話あらすじ(約500字)</t>
        </is>
      </c>
    </row>
    <row r="2">
      <c r="A2" s="3" t="inlineStr">
        <is>
          <t>書き方: 「やりたいこと」を1〜2行。そのあと、1導入・2山場1・3山場2・4ヒキの4項目。台詞は、要になる確定した台詞だけ。</t>
        </is>
      </c>
    </row>
    <row r="4">
      <c r="A4" s="13" t="inlineStr">
        <is>
          <t>話</t>
        </is>
      </c>
      <c r="B4" s="13" t="inlineStr">
        <is>
          <t>サブタイトル</t>
        </is>
      </c>
      <c r="C4" s="13" t="inlineStr">
        <is>
          <t>やりたいこと</t>
        </is>
      </c>
      <c r="D4" s="13" t="inlineStr">
        <is>
          <t>1 導入</t>
        </is>
      </c>
      <c r="E4" s="13" t="inlineStr">
        <is>
          <t>2 山場1</t>
        </is>
      </c>
      <c r="F4" s="13" t="inlineStr">
        <is>
          <t>3 山場2</t>
        </is>
      </c>
      <c r="G4" s="13" t="inlineStr">
        <is>
          <t>4 (ヒキ)</t>
        </is>
      </c>
      <c r="H4" s="13" t="inlineStr">
        <is>
          <t>字数</t>
        </is>
      </c>
      <c r="I4" s="13" t="inlineStr">
        <is>
          <t>目安との差</t>
        </is>
      </c>
    </row>
    <row r="5" ht="190" customHeight="1">
      <c r="A5" s="18" t="inlineStr">
        <is>
          <t>1話</t>
        </is>
      </c>
      <c r="B5" s="18" t="inlineStr">
        <is>
          <t>その手で、触らないでください</t>
        </is>
      </c>
      <c r="C5" s="15" t="inlineStr">
        <is>
          <t>町の最後の朝から、町の滅亡、ハルとの出会いまで。優しい顔で近づいてきた最強の男に、ミナが平熱で「触らないでください」と言い、その手を止めさせる。ミナが怯えない人であることと、水と傷だけは見逃さないことを、1話で見せる。</t>
        </is>
      </c>
      <c r="D5" s="15" t="inlineStr">
        <is>
          <t>町の最後の朝。ミナは水を調べ、濁りがないのを確かめる。叔父に痩せたと言われ、水を見ていると食事を忘れる、と答えて笑われる。夜、悲鳴が上がり、ヨシノに連れられて地上へ逃げる。通路で、昼に笑っていた叔父の死体につまずき、ミナは声が出ず、足が止まる。</t>
        </is>
      </c>
      <c r="E5" s="15" t="inlineStr">
        <is>
          <t>階段を上ると、空に天井がない。盗賊に囲まれて値踏みされ、ミナは盗賊の水袋が腐っていることのほうが気になる。ヨシノが侮られると、ミナは自分を差し出して、ヨシノを離させようとする。ヨシノは「ご自分を、安く言わないでください」と怒り、殴りかかって、二人とも縛られる。</t>
        </is>
      </c>
      <c r="F5" s="15" t="inlineStr">
        <is>
          <t>盗賊の手首があらぬ向きに折れ、ハルが現れる。穏やかな声でミナの縄をほどくが、ミナは外套の下の、膿んだ傷のにおいに気づく。直後、ハルは「縛り直せ」と命じる。助けたのではなく、売り物にするためだった。ミナは、助けてくださったのではないのですね、と確かめるだけだった。</t>
        </is>
      </c>
      <c r="G5" s="15" t="inlineStr">
        <is>
          <t>ハルが膝をつき、ミナの頬に手を伸ばす。爪の間が黒く、割れた爪の下に乾いていない血がある。ミナは「その手で、私に触らないでください」と言う。ロクゾウが「……終わった」とつぶやく。ハルは怒らず、手を引く。</t>
        </is>
      </c>
      <c r="H5" s="19">
        <f>LEN(C5)+LEN(D5)+LEN(E5)+LEN(F5)+LEN(G5)</f>
        <v/>
      </c>
      <c r="I5" s="20">
        <f>TEXT(H5-使い方!$C$11,"+0;-0;0")&amp;"字"</f>
        <v/>
      </c>
    </row>
    <row r="6" ht="190" customHeight="1">
      <c r="A6" s="18" t="inlineStr">
        <is>
          <t>2話</t>
        </is>
      </c>
      <c r="B6" s="18" t="inlineStr">
        <is>
          <t>洗わないと死にますよ</t>
        </is>
      </c>
      <c r="C6" s="15" t="inlineStr">
        <is>
          <t>ミナがハルの傷を洗って命を救い、ハルがミナを妻にすると決める。ミナが初めて、専門の手で人を救う。ハルは、怯えも媚びもしないミナに、これまで会ったことのない相手として、目を離せなくなる。</t>
        </is>
      </c>
      <c r="D6" s="15" t="inlineStr">
        <is>
          <t>朝、縛られたミナとヨシノが、ハルの前に座らされる。ハルは、なぜ触るなと言ったのかを聞く。答えるまでは殺さない、と言う。ミナは、ハルが左肩をかばう歩き方と、外套の下のにおいを、1話からずっと見ていた。</t>
        </is>
      </c>
      <c r="E6" s="15" t="inlineStr">
        <is>
          <t>ミナは平熱のまま、「その傷、洗わないと死にますよ」と言う。ハルの顔から色が抜け、「見るな」と言う。弱みを見せれば、手下に寝首をかかれるからだ。ハルは手下とヨシノを外へ出し、ミナだけを残し、ミナの縄を切る。手が使えなければ、洗えない。</t>
        </is>
      </c>
      <c r="F6" s="15" t="inlineStr">
        <is>
          <t>ミナが傷を洗う。皮を剥がして膿を出し、お湯をかけて流す。ハルは声を出さずに耐える。1話で「触らないで」と言った手が、今度は自分から、ハルの傷に触れる。ハルは、ミナの指先が驚くほど冷たいことに気づく。血の色がきれいになったら、洗い終わり。</t>
        </is>
      </c>
      <c r="G6" s="15" t="inlineStr">
        <is>
          <t>ハルは、借りができたと言い、「お前を、妻にする」と宣言する。意味の説明はない。ミナには、言葉の意味は分かるが、なぜ自分にそう言うのかが分からない。</t>
        </is>
      </c>
      <c r="H6" s="19">
        <f>LEN(C6)+LEN(D6)+LEN(E6)+LEN(F6)+LEN(G6)</f>
        <v/>
      </c>
      <c r="I6" s="20">
        <f>TEXT(H6-使い方!$C$11,"+0;-0;0")&amp;"字"</f>
        <v/>
      </c>
    </row>
    <row r="7" ht="190" customHeight="1">
      <c r="A7" s="18" t="inlineStr">
        <is>
          <t>3話</t>
        </is>
      </c>
      <c r="B7" s="18" t="inlineStr">
        <is>
          <t>条件が、あります</t>
        </is>
      </c>
      <c r="C7" s="15" t="inlineStr">
        <is>
          <t>ミナが自分から条件を出して、ハルと契約する。契約の印は、握手ではなく手当てになる。この契約が、100話を通じた物語の縛りになる。ミナは取引のつもりで、ハルは、取引ではないと訂正しない。</t>
        </is>
      </c>
      <c r="D7" s="15" t="inlineStr">
        <is>
          <t>一夜。ミナは「妻」の意味が分からないまま、夜を過ごす。ヨシノは、略奪者から逃げようと言う。ミナは、逃げても帰る町がないこと、婚約者のイオリが生きているのかを確かめたいことを、淡々と話す。ヨシノは、ミナの言い方が、自分を勘定に入れていないことに怒る。</t>
        </is>
      </c>
      <c r="E7" s="15" t="inlineStr">
        <is>
          <t>ミナはハルに、イオリが生きているのかを確かめたい、と話す。ハルは、探すのを手伝う代わりに、ミナに水を作らせる、と言う。ミナは、取引だと理解する。ハルが妻と呼ぶのは、取引の相手の呼び名だと受け取る。水を作ることで、ここにいる代金を払うつもりでいる。</t>
        </is>
      </c>
      <c r="F7" s="15" t="inlineStr">
        <is>
          <t>ミナが条件を出す。自分のいる場所では、誰も殺さない。理由は、水が汚れるから。期限は、イオリが見つかるまで。ハルは一瞬黙る。ミナは気づかない。読者だけが、その沈黙に気づく。</t>
        </is>
      </c>
      <c r="G7" s="15" t="inlineStr">
        <is>
          <t>ヨシノの縄が切られる。ミナは、握手の代わりに、ハルの傷の続きを診ます、と言う。契約の印は、手当てになる。</t>
        </is>
      </c>
      <c r="H7" s="19">
        <f>LEN(C7)+LEN(D7)+LEN(E7)+LEN(F7)+LEN(G7)</f>
        <v/>
      </c>
      <c r="I7" s="20">
        <f>TEXT(H7-使い方!$C$11,"+0;-0;0")&amp;"字"</f>
        <v/>
      </c>
    </row>
    <row r="8" ht="190" customHeight="1">
      <c r="A8" s="18" t="inlineStr">
        <is>
          <t>最終話(仮)</t>
        </is>
      </c>
      <c r="B8" s="18" t="inlineStr">
        <is>
          <t>(仮題なし)</t>
        </is>
      </c>
      <c r="C8" s="15" t="inlineStr">
        <is>
          <t>契約の期限がとうに過ぎていたことが分かり、ミナがハルの泥の手を、洗わずに握る。1話の朝を、もう一度見せる。契約が終わったあとも、ミナが自分で選んで、ここにいることを見せる。</t>
        </is>
      </c>
      <c r="D8" s="15" t="inlineStr">
        <is>
          <t>夕方、作業を終えた水場で、ロクゾウが数える癖で、何気なく、イオリと会った日からの日数を口にする。ヨシノは黙って目をそらす。ヨシノは、ずっと気づいていたが、ミナには黙っていた。</t>
        </is>
      </c>
      <c r="E8" s="15" t="inlineStr">
        <is>
          <t>ミナだけが、遅れて気づく。契約の期限は、イオリと再会した日に終わっていた。イオリは、ミナにとって、もう探す相手ではなくなっていた。だから、確かめたいことが済んだあとも、期限のことを考えなかった。ハルは、期限が過ぎても、言い出さなかった。</t>
        </is>
      </c>
      <c r="F8" s="15" t="inlineStr">
        <is>
          <t>ハルは、泥だらけの手のまま、何も言わず立っている。ミナは、水と衛生の専門家として、洗わせるはずの手を、洗わずに握る。1話で「触らないで」と言った手を、専門の反射ではなく、自分の意思で握る。</t>
        </is>
      </c>
      <c r="G8" s="15" t="inlineStr">
        <is>
          <t>翌朝、水場。ミナは水を小瓶に汲み、灯りにかざす。濁りはない。昨日と同じ。「澄んでいます。明日も、使えます」。昨日と同じ明日を、ミナは今日、自分で選んでいる。1話の朝と同じ水場で終わる。</t>
        </is>
      </c>
      <c r="H8" s="19">
        <f>LEN(C8)+LEN(D8)+LEN(E8)+LEN(F8)+LEN(G8)</f>
        <v/>
      </c>
      <c r="I8" s="20">
        <f>TEXT(H8-使い方!$C$11,"+0;-0;0")&amp;"字"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2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62" customWidth="1" min="3" max="3"/>
    <col width="30" customWidth="1" min="4" max="4"/>
    <col width="34" customWidth="1" min="5" max="5"/>
    <col width="34" customWidth="1" min="6" max="6"/>
  </cols>
  <sheetData>
    <row r="1">
      <c r="A1" s="6" t="inlineStr">
        <is>
          <t>サブタイトル</t>
        </is>
      </c>
      <c r="B1" s="21" t="inlineStr">
        <is>
          <t>その手で、触らないでください</t>
        </is>
      </c>
    </row>
    <row r="2" ht="34" customHeight="1">
      <c r="A2" s="22" t="inlineStr">
        <is>
          <t>話の目的／
見せたいもの</t>
        </is>
      </c>
      <c r="B2" s="23" t="inlineStr">
        <is>
          <t>町が滅び、ハルに出会う。ハルが優しい顔で手を伸ばしたとき、ミナが平熱で「触らないで」と言って、最強の男を止める。(仮置き: 叔父の死のあと、ミナは感情が切れたように平熱になる)</t>
        </is>
      </c>
    </row>
    <row r="4" ht="72" customHeight="1">
      <c r="A4" s="24">
        <f>"文字数"&amp;CHAR(10)&amp;(A5+A21+A50+A69)</f>
        <v/>
      </c>
      <c r="B4" s="24">
        <f>"セリフ数:"&amp;CHAR(10)&amp;COUNTIF(C6:C80,"「*")</f>
        <v/>
      </c>
      <c r="C4" s="25" t="inlineStr">
        <is>
          <t>シナリオ内容(2〜3000文字程度)
※赤字=魅せゴマ・キメ台詞(導入・山場・ヒキに各1つ以上)
※青字=この話で一番の見せ場(1つ)
※心情は、台詞と演技で書く</t>
        </is>
      </c>
      <c r="D4" s="26" t="inlineStr">
        <is>
          <t>キャラ情報
場所・時間・背景など
※場面が変わるときに書く</t>
        </is>
      </c>
      <c r="E4" s="26" t="inlineStr">
        <is>
          <t>心情・表情・演出プラン
※台詞とト書きで描き切れない心情や演出があれば</t>
        </is>
      </c>
      <c r="F4" s="26" t="inlineStr">
        <is>
          <t>その他備考
※補足、イメージなど</t>
        </is>
      </c>
    </row>
    <row r="5">
      <c r="A5" s="27">
        <f>SUM(A6:A20)</f>
        <v/>
      </c>
      <c r="B5" s="28" t="inlineStr">
        <is>
          <t>導入</t>
        </is>
      </c>
      <c r="C5" s="29">
        <f>"※"&amp;使い方!$C$5&amp;"文字以内"</f>
        <v/>
      </c>
      <c r="D5" s="30" t="n"/>
      <c r="E5" s="29">
        <f>"目安との差 "&amp;TEXT(A5-使い方!$C$5,"+0;-0;0")&amp;"字"</f>
        <v/>
      </c>
      <c r="F5" s="30" t="n"/>
    </row>
    <row r="6">
      <c r="A6" s="31">
        <f>IF(C6="","",LEN(C6))</f>
        <v/>
      </c>
      <c r="B6" s="32" t="inlineStr"/>
      <c r="C6" s="33" t="inlineStr">
        <is>
          <t>水場に並ぶ町の人たち。ミナ、桶の水を小瓶に汲み、灯りにかざす。濁りはない。昨日と同じ。</t>
        </is>
      </c>
      <c r="D6" s="15" t="inlineStr">
        <is>
          <t>地下の町・水場。昼も夜も同じ黄色い灯り。最後の朝。
ミナ:作業用の前掛け。腰に水質計測具</t>
        </is>
      </c>
      <c r="E6" s="34" t="inlineStr">
        <is>
          <t>★無表情。目は水だけを見ている</t>
        </is>
      </c>
      <c r="F6" s="15" t="inlineStr">
        <is>
          <t>ミナは怯えない人。感情は動かず、手と目で仕事をする</t>
        </is>
      </c>
    </row>
    <row r="7">
      <c r="A7" s="31">
        <f>IF(C7="","",LEN(C7))</f>
        <v/>
      </c>
      <c r="B7" s="32" t="inlineStr">
        <is>
          <t>叔父</t>
        </is>
      </c>
      <c r="C7" s="35" t="inlineStr">
        <is>
          <t>「痩せたな。式の前に倒れるなよ」</t>
        </is>
      </c>
      <c r="D7" s="15" t="inlineStr">
        <is>
          <t>叔父:袖口に継ぎ当てのある上着。目尻に皺</t>
        </is>
      </c>
      <c r="E7" s="15" t="inlineStr"/>
      <c r="F7" s="15" t="inlineStr">
        <is>
          <t>婚礼の衣の寸法合わせのこと</t>
        </is>
      </c>
    </row>
    <row r="8">
      <c r="A8" s="31">
        <f>IF(C8="","",LEN(C8))</f>
        <v/>
      </c>
      <c r="B8" s="32" t="inlineStr">
        <is>
          <t>ミナ</t>
        </is>
      </c>
      <c r="C8" s="35" t="inlineStr">
        <is>
          <t>「水を見ていると、食事を忘れるので」</t>
        </is>
      </c>
      <c r="D8" s="15" t="inlineStr"/>
      <c r="E8" s="15" t="inlineStr">
        <is>
          <t>冗談のつもりはない。平熱</t>
        </is>
      </c>
      <c r="F8" s="15" t="inlineStr"/>
    </row>
    <row r="9">
      <c r="A9" s="31">
        <f>IF(C9="","",LEN(C9))</f>
        <v/>
      </c>
      <c r="B9" s="32" t="inlineStr"/>
      <c r="C9" s="33" t="inlineStr">
        <is>
          <t>叔父、噴き出し、桶を揺らして帰っていく。</t>
        </is>
      </c>
      <c r="D9" s="15" t="inlineStr"/>
      <c r="E9" s="15" t="inlineStr"/>
      <c r="F9" s="15" t="inlineStr">
        <is>
          <t>叔父の笑顔を、読者に覚えさせる</t>
        </is>
      </c>
    </row>
    <row r="10">
      <c r="A10" s="31">
        <f>IF(C10="","",LEN(C10))</f>
        <v/>
      </c>
      <c r="B10" s="32" t="inlineStr">
        <is>
          <t>字幕</t>
        </is>
      </c>
      <c r="C10" s="33" t="inlineStr">
        <is>
          <t>広間の奥に、閉じたままの分厚い扉。外では人は生きられない。扉は開けてはならない。三百年、誰も触れていない。</t>
        </is>
      </c>
      <c r="D10" s="15" t="inlineStr"/>
      <c r="E10" s="15" t="inlineStr"/>
      <c r="F10" s="15" t="inlineStr">
        <is>
          <t>掟の説明は、ここ一度だけ</t>
        </is>
      </c>
    </row>
    <row r="11">
      <c r="A11" s="31">
        <f>IF(C11="","",LEN(C11))</f>
        <v/>
      </c>
      <c r="B11" s="32" t="inlineStr"/>
      <c r="C11" s="33" t="inlineStr">
        <is>
          <t>夜。眠りかけたミナの耳に、階段の上から悲鳴が届く。二つ、三つ。悲鳴は重なり、床を伝って降りてくる。焦げたにおい。腹に響く重い軋み。</t>
        </is>
      </c>
      <c r="D11" s="15" t="inlineStr">
        <is>
          <t>夜。ミナの部屋</t>
        </is>
      </c>
      <c r="E11" s="15" t="inlineStr"/>
      <c r="F11" s="15" t="inlineStr"/>
    </row>
    <row r="12">
      <c r="A12" s="31">
        <f>IF(C12="","",LEN(C12))</f>
        <v/>
      </c>
      <c r="B12" s="32" t="inlineStr">
        <is>
          <t>ミナ</t>
        </is>
      </c>
      <c r="C12" s="35" t="inlineStr">
        <is>
          <t>「悲鳴が、増えています」</t>
        </is>
      </c>
      <c r="D12" s="15" t="inlineStr"/>
      <c r="E12" s="34" t="inlineStr">
        <is>
          <t>★起き上がるが、慌てない</t>
        </is>
      </c>
      <c r="F12" s="15" t="inlineStr"/>
    </row>
    <row r="13">
      <c r="A13" s="31">
        <f>IF(C13="","",LEN(C13))</f>
        <v/>
      </c>
      <c r="B13" s="32" t="inlineStr"/>
      <c r="C13" s="33" t="inlineStr">
        <is>
          <t>戸が乱暴に開き、ヨシノが飛びこんでくる。髪が乱れ、肩で息をしている。</t>
        </is>
      </c>
      <c r="D13" s="15" t="inlineStr">
        <is>
          <t>ヨシノ:髪が乱れ、息が荒い</t>
        </is>
      </c>
      <c r="E13" s="15" t="inlineStr"/>
      <c r="F13" s="15" t="inlineStr"/>
    </row>
    <row r="14">
      <c r="A14" s="31">
        <f>IF(C14="","",LEN(C14))</f>
        <v/>
      </c>
      <c r="B14" s="32" t="inlineStr">
        <is>
          <t>ヨシノ</t>
        </is>
      </c>
      <c r="C14" s="35" t="inlineStr">
        <is>
          <t>「お嬢様、立ってください。ここにいたら殺されます。地上に出ます」</t>
        </is>
      </c>
      <c r="D14" s="15" t="inlineStr"/>
      <c r="E14" s="15" t="inlineStr"/>
      <c r="F14" s="15" t="inlineStr"/>
    </row>
    <row r="15">
      <c r="A15" s="31">
        <f>IF(C15="","",LEN(C15))</f>
        <v/>
      </c>
      <c r="B15" s="32" t="inlineStr">
        <is>
          <t>ミナ</t>
        </is>
      </c>
      <c r="C15" s="35" t="inlineStr">
        <is>
          <t>「地上に出ると、死にます」</t>
        </is>
      </c>
      <c r="D15" s="15" t="inlineStr"/>
      <c r="E15" s="34" t="inlineStr">
        <is>
          <t>★言い方は平熱。事実を確認しているだけ</t>
        </is>
      </c>
      <c r="F15" s="15" t="inlineStr"/>
    </row>
    <row r="16">
      <c r="A16" s="31">
        <f>IF(C16="","",LEN(C16))</f>
        <v/>
      </c>
      <c r="B16" s="32" t="inlineStr">
        <is>
          <t>ヨシノ</t>
        </is>
      </c>
      <c r="C16" s="35" t="inlineStr">
        <is>
          <t>「ここにいても死にます」</t>
        </is>
      </c>
      <c r="D16" s="15" t="inlineStr"/>
      <c r="E16" s="15" t="inlineStr"/>
      <c r="F16" s="15" t="inlineStr"/>
    </row>
    <row r="17">
      <c r="A17" s="31">
        <f>IF(C17="","",LEN(C17))</f>
        <v/>
      </c>
      <c r="B17" s="32" t="inlineStr"/>
      <c r="C17" s="36" t="inlineStr">
        <is>
          <t>通路。半分消えた灯り。ミナ、何かにつまずく。叔父の腕。袖口に継ぎ当て。目を開けたまま、こちらを向いた顔。</t>
        </is>
      </c>
      <c r="D17" s="15" t="inlineStr">
        <is>
          <t>町の通路(夜)</t>
        </is>
      </c>
      <c r="E17" s="34" t="inlineStr">
        <is>
          <t>★足が止まる。声が出ない</t>
        </is>
      </c>
      <c r="F17" s="15" t="inlineStr">
        <is>
          <t>叔父の死体(魅せゴマ)。感情は、体で見せる</t>
        </is>
      </c>
    </row>
    <row r="18">
      <c r="A18" s="31">
        <f>IF(C18="","",LEN(C18))</f>
        <v/>
      </c>
      <c r="B18" s="32" t="inlineStr"/>
      <c r="C18" s="33" t="inlineStr">
        <is>
          <t>ヨシノが脇に手を入れて引き起こす。叔父の顔は、もう見えない。</t>
        </is>
      </c>
      <c r="D18" s="15" t="inlineStr"/>
      <c r="E18" s="15" t="inlineStr"/>
      <c r="F18" s="15" t="inlineStr"/>
    </row>
    <row r="19">
      <c r="A19" s="31">
        <f>IF(C19="","",LEN(C19))</f>
        <v/>
      </c>
      <c r="B19" s="32" t="inlineStr"/>
      <c r="C19" s="33" t="inlineStr">
        <is>
          <t>広間の灯りが、一瞬揺れる。三百年同じだった黄色が、赤に変わっていく。</t>
        </is>
      </c>
      <c r="D19" s="15" t="inlineStr"/>
      <c r="E19" s="15" t="inlineStr"/>
      <c r="F19" s="15" t="inlineStr">
        <is>
          <t>灯りの色が、町の終わりを知らせる</t>
        </is>
      </c>
    </row>
    <row r="20">
      <c r="A20" s="31">
        <f>IF(C20="","",LEN(C20))</f>
        <v/>
      </c>
      <c r="B20" s="32" t="inlineStr"/>
      <c r="C20" s="33" t="inlineStr">
        <is>
          <t>広間。人の声がひとつもしない。奥の扉が開き、薄青い光が床に四角く落ちる。鉄の切れ端を巻いた男たちが、前だけを見て町の奥へ走っていく。</t>
        </is>
      </c>
      <c r="D20" s="15" t="inlineStr">
        <is>
          <t>広間。奥に開いた扉</t>
        </is>
      </c>
      <c r="E20" s="15" t="inlineStr"/>
      <c r="F20" s="15" t="inlineStr">
        <is>
          <t>壁際を駆ける二人には、目もくれない</t>
        </is>
      </c>
    </row>
    <row r="21">
      <c r="A21" s="37">
        <f>SUM(A22:A49)</f>
        <v/>
      </c>
      <c r="B21" s="38" t="inlineStr">
        <is>
          <t>山場1</t>
        </is>
      </c>
      <c r="C21" s="39">
        <f>"※"&amp;使い方!$C$6&amp;"文字以内"</f>
        <v/>
      </c>
      <c r="D21" s="40" t="n"/>
      <c r="E21" s="39">
        <f>"目安との差 "&amp;TEXT(A21-使い方!$C$6,"+0;-0;0")&amp;"字"</f>
        <v/>
      </c>
      <c r="F21" s="40" t="n"/>
    </row>
    <row r="22">
      <c r="A22" s="31">
        <f>IF(C22="","",LEN(C22))</f>
        <v/>
      </c>
      <c r="B22" s="32" t="inlineStr"/>
      <c r="C22" s="33" t="inlineStr">
        <is>
          <t>扉の先は、手すりのない急な階段。ミナ、一段目に足をかけて止まる。</t>
        </is>
      </c>
      <c r="D22" s="15" t="inlineStr"/>
      <c r="E22" s="15" t="inlineStr"/>
      <c r="F22" s="15" t="inlineStr"/>
    </row>
    <row r="23">
      <c r="A23" s="31">
        <f>IF(C23="","",LEN(C23))</f>
        <v/>
      </c>
      <c r="B23" s="32" t="inlineStr">
        <is>
          <t>ミナ</t>
        </is>
      </c>
      <c r="C23" s="35" t="inlineStr">
        <is>
          <t>「掟では、外では息ができません」</t>
        </is>
      </c>
      <c r="D23" s="15" t="inlineStr"/>
      <c r="E23" s="15" t="inlineStr"/>
      <c r="F23" s="15" t="inlineStr"/>
    </row>
    <row r="24">
      <c r="A24" s="31">
        <f>IF(C24="","",LEN(C24))</f>
        <v/>
      </c>
      <c r="B24" s="32" t="inlineStr">
        <is>
          <t>ヨシノ</t>
        </is>
      </c>
      <c r="C24" s="35" t="inlineStr">
        <is>
          <t>「お嬢様」</t>
        </is>
      </c>
      <c r="D24" s="15" t="inlineStr"/>
      <c r="E24" s="15" t="inlineStr">
        <is>
          <t>手を握ったまま、離さない</t>
        </is>
      </c>
      <c r="F24" s="15" t="inlineStr"/>
    </row>
    <row r="25">
      <c r="A25" s="31">
        <f>IF(C25="","",LEN(C25))</f>
        <v/>
      </c>
      <c r="B25" s="32" t="inlineStr"/>
      <c r="C25" s="33" t="inlineStr">
        <is>
          <t>上る背中に、下から名前を呼ぶ声が追ってくる。同じ名を三度。四度目はない。広間の灯りに、赤い色が混じる。</t>
        </is>
      </c>
      <c r="D25" s="15" t="inlineStr"/>
      <c r="E25" s="15" t="inlineStr"/>
      <c r="F25" s="15" t="inlineStr"/>
    </row>
    <row r="26">
      <c r="A26" s="31">
        <f>IF(C26="","",LEN(C26))</f>
        <v/>
      </c>
      <c r="B26" s="32" t="inlineStr"/>
      <c r="C26" s="33" t="inlineStr">
        <is>
          <t>最後の段の前で、ミナは息を止める。胸が痛くなるまでこらえ、吐いて、吸う。</t>
        </is>
      </c>
      <c r="D26" s="15" t="inlineStr"/>
      <c r="E26" s="15" t="inlineStr"/>
      <c r="F26" s="15" t="inlineStr"/>
    </row>
    <row r="27">
      <c r="A27" s="31">
        <f>IF(C27="","",LEN(C27))</f>
        <v/>
      </c>
      <c r="B27" s="32" t="inlineStr">
        <is>
          <t>ミナ</t>
        </is>
      </c>
      <c r="C27" s="35" t="inlineStr">
        <is>
          <t>「……吸えました」</t>
        </is>
      </c>
      <c r="D27" s="15" t="inlineStr"/>
      <c r="E27" s="15" t="inlineStr"/>
      <c r="F27" s="15" t="inlineStr"/>
    </row>
    <row r="28">
      <c r="A28" s="31">
        <f>IF(C28="","",LEN(C28))</f>
        <v/>
      </c>
      <c r="B28" s="32" t="inlineStr"/>
      <c r="C28" s="33" t="inlineStr">
        <is>
          <t>階段を上りきる。天井がない。東の端だけ橙の空。見ているあいだにも、色が変わっていく。</t>
        </is>
      </c>
      <c r="D28" s="15" t="inlineStr">
        <is>
          <t>地上・岩場。夜明け。
ミナ:寝間着。肩にヨシノが婚礼の衣を掛けている(仮置き)</t>
        </is>
      </c>
      <c r="E28" s="34" t="inlineStr">
        <is>
          <t>★目が離れない。感情が切れたように、平熱</t>
        </is>
      </c>
      <c r="F28" s="15" t="inlineStr">
        <is>
          <t>叔父の死のあと、ミナの感情が止まる。ここから平熱(仮置きA)</t>
        </is>
      </c>
    </row>
    <row r="29">
      <c r="A29" s="31">
        <f>IF(C29="","",LEN(C29))</f>
        <v/>
      </c>
      <c r="B29" s="32" t="inlineStr">
        <is>
          <t>ミナ</t>
        </is>
      </c>
      <c r="C29" s="35" t="inlineStr">
        <is>
          <t>「……天井が、ありません」</t>
        </is>
      </c>
      <c r="D29" s="15" t="inlineStr"/>
      <c r="E29" s="15" t="inlineStr"/>
      <c r="F29" s="15" t="inlineStr"/>
    </row>
    <row r="30">
      <c r="A30" s="31">
        <f>IF(C30="","",LEN(C30))</f>
        <v/>
      </c>
      <c r="B30" s="32" t="inlineStr"/>
      <c r="C30" s="33" t="inlineStr">
        <is>
          <t>ミナ、空から視線を戻し、後ろを振り返る。階段の穴から、赤い灯りが漏れている。</t>
        </is>
      </c>
      <c r="D30" s="15" t="inlineStr"/>
      <c r="E30" s="34" t="inlineStr">
        <is>
          <t>★振り返るだけ。取り乱さない</t>
        </is>
      </c>
      <c r="F30" s="15" t="inlineStr">
        <is>
          <t>町の人たちの死を、ここで一度だけ思い出させる</t>
        </is>
      </c>
    </row>
    <row r="31">
      <c r="A31" s="31">
        <f>IF(C31="","",LEN(C31))</f>
        <v/>
      </c>
      <c r="B31" s="32" t="inlineStr"/>
      <c r="C31" s="33" t="inlineStr">
        <is>
          <t>岩陰から盗賊が四人。ミナとヨシノを取り囲む。</t>
        </is>
      </c>
      <c r="D31" s="15" t="inlineStr"/>
      <c r="E31" s="15" t="inlineStr"/>
      <c r="F31" s="15" t="inlineStr"/>
    </row>
    <row r="32">
      <c r="A32" s="31">
        <f>IF(C32="","",LEN(C32))</f>
        <v/>
      </c>
      <c r="B32" s="32" t="inlineStr">
        <is>
          <t>髭の男</t>
        </is>
      </c>
      <c r="C32" s="35" t="inlineStr">
        <is>
          <t>「ほんとに穴から出てきやがった。肌がきれいだな」</t>
        </is>
      </c>
      <c r="D32" s="15" t="inlineStr">
        <is>
          <t>髭の男:腰に水袋</t>
        </is>
      </c>
      <c r="E32" s="15" t="inlineStr"/>
      <c r="F32" s="15" t="inlineStr"/>
    </row>
    <row r="33">
      <c r="A33" s="31">
        <f>IF(C33="","",LEN(C33))</f>
        <v/>
      </c>
      <c r="B33" s="32" t="inlineStr">
        <is>
          <t>盗賊</t>
        </is>
      </c>
      <c r="C33" s="35" t="inlineStr">
        <is>
          <t>「穴の中の連中は、みんなこんなに肌が白いのか。いい値がつくぞ」</t>
        </is>
      </c>
      <c r="D33" s="15" t="inlineStr"/>
      <c r="E33" s="15" t="inlineStr"/>
      <c r="F33" s="15" t="inlineStr"/>
    </row>
    <row r="34">
      <c r="A34" s="31">
        <f>IF(C34="","",LEN(C34))</f>
        <v/>
      </c>
      <c r="B34" s="32" t="inlineStr"/>
      <c r="C34" s="33" t="inlineStr">
        <is>
          <t>髭の男、ミナの顎をつかんで左右に向ける。ミナの目は、男の水袋に行く。</t>
        </is>
      </c>
      <c r="D34" s="15" t="inlineStr"/>
      <c r="E34" s="15" t="inlineStr">
        <is>
          <t>水袋の口から、腐りかけた水のにおい</t>
        </is>
      </c>
      <c r="F34" s="15" t="inlineStr"/>
    </row>
    <row r="35">
      <c r="A35" s="31">
        <f>IF(C35="","",LEN(C35))</f>
        <v/>
      </c>
      <c r="B35" s="32" t="inlineStr">
        <is>
          <t>ミナ</t>
        </is>
      </c>
      <c r="C35" s="35" t="inlineStr">
        <is>
          <t>「その水袋、腐っています」</t>
        </is>
      </c>
      <c r="D35" s="15" t="inlineStr"/>
      <c r="E35" s="15" t="inlineStr">
        <is>
          <t>確認として言う。命乞いでも抗議でもない</t>
        </is>
      </c>
      <c r="F35" s="15" t="inlineStr">
        <is>
          <t>ミナは、状況より水を優先して見てしまう</t>
        </is>
      </c>
    </row>
    <row r="36">
      <c r="A36" s="31">
        <f>IF(C36="","",LEN(C36))</f>
        <v/>
      </c>
      <c r="B36" s="32" t="inlineStr">
        <is>
          <t>髭の男</t>
        </is>
      </c>
      <c r="C36" s="35" t="inlineStr">
        <is>
          <t>「あ?」</t>
        </is>
      </c>
      <c r="D36" s="15" t="inlineStr"/>
      <c r="E36" s="15" t="inlineStr"/>
      <c r="F36" s="15" t="inlineStr"/>
    </row>
    <row r="37">
      <c r="A37" s="31">
        <f>IF(C37="","",LEN(C37))</f>
        <v/>
      </c>
      <c r="B37" s="32" t="inlineStr">
        <is>
          <t>盗賊</t>
        </is>
      </c>
      <c r="C37" s="35" t="inlineStr">
        <is>
          <t>「上物だ。売る前に味見くらいいいだろ」</t>
        </is>
      </c>
      <c r="D37" s="15" t="inlineStr"/>
      <c r="E37" s="15" t="inlineStr">
        <is>
          <t>笑いが起きる。岩に寄りかかった男が一人、止めもせずにあくびをしている</t>
        </is>
      </c>
      <c r="F37" s="15" t="inlineStr"/>
    </row>
    <row r="38">
      <c r="A38" s="31">
        <f>IF(C38="","",LEN(C38))</f>
        <v/>
      </c>
      <c r="B38" s="32" t="inlineStr">
        <is>
          <t>ヨシノ</t>
        </is>
      </c>
      <c r="C38" s="35" t="inlineStr">
        <is>
          <t>「お嬢様、私の後ろに」</t>
        </is>
      </c>
      <c r="D38" s="15" t="inlineStr"/>
      <c r="E38" s="15" t="inlineStr"/>
      <c r="F38" s="15" t="inlineStr"/>
    </row>
    <row r="39">
      <c r="A39" s="31">
        <f>IF(C39="","",LEN(C39))</f>
        <v/>
      </c>
      <c r="B39" s="32" t="inlineStr"/>
      <c r="C39" s="33" t="inlineStr">
        <is>
          <t>盗賊たち、笑いながら二人の周りを一周して、値踏みする。</t>
        </is>
      </c>
      <c r="D39" s="15" t="inlineStr"/>
      <c r="E39" s="15" t="inlineStr"/>
      <c r="F39" s="15" t="inlineStr"/>
    </row>
    <row r="40">
      <c r="A40" s="31">
        <f>IF(C40="","",LEN(C40))</f>
        <v/>
      </c>
      <c r="B40" s="32" t="inlineStr">
        <is>
          <t>ヨシノ</t>
        </is>
      </c>
      <c r="C40" s="35" t="inlineStr">
        <is>
          <t>「手を放してください」</t>
        </is>
      </c>
      <c r="D40" s="15" t="inlineStr"/>
      <c r="E40" s="15" t="inlineStr"/>
      <c r="F40" s="15" t="inlineStr"/>
    </row>
    <row r="41">
      <c r="A41" s="31">
        <f>IF(C41="","",LEN(C41))</f>
        <v/>
      </c>
      <c r="B41" s="32" t="inlineStr">
        <is>
          <t>盗賊</t>
        </is>
      </c>
      <c r="C41" s="35" t="inlineStr">
        <is>
          <t>「女の用心棒かよ。棒きれの腕で、何ができる」</t>
        </is>
      </c>
      <c r="D41" s="15" t="inlineStr"/>
      <c r="E41" s="15" t="inlineStr">
        <is>
          <t>ヨシノの袖をまくり上げる。ヨシノは唇を噛み、動かない</t>
        </is>
      </c>
      <c r="F41" s="15" t="inlineStr"/>
    </row>
    <row r="42">
      <c r="A42" s="31">
        <f>IF(C42="","",LEN(C42))</f>
        <v/>
      </c>
      <c r="B42" s="32" t="inlineStr">
        <is>
          <t>ミナ</t>
        </is>
      </c>
      <c r="C42" s="41" t="inlineStr">
        <is>
          <t>「ヨシノを離してください。私が行きます」</t>
        </is>
      </c>
      <c r="D42" s="15" t="inlineStr"/>
      <c r="E42" s="34" t="inlineStr">
        <is>
          <t>★値段を計算して出した答え。目は動かない</t>
        </is>
      </c>
      <c r="F42" s="15" t="inlineStr">
        <is>
          <t>ミナは自分を安く差し出す。ヨシノが怒る起点(魅せゴマ)</t>
        </is>
      </c>
    </row>
    <row r="43">
      <c r="A43" s="31">
        <f>IF(C43="","",LEN(C43))</f>
        <v/>
      </c>
      <c r="B43" s="32" t="inlineStr">
        <is>
          <t>ヨシノ</t>
        </is>
      </c>
      <c r="C43" s="35" t="inlineStr">
        <is>
          <t>「……今、何と」</t>
        </is>
      </c>
      <c r="D43" s="15" t="inlineStr"/>
      <c r="E43" s="15" t="inlineStr"/>
      <c r="F43" s="15" t="inlineStr"/>
    </row>
    <row r="44">
      <c r="A44" s="31">
        <f>IF(C44="","",LEN(C44))</f>
        <v/>
      </c>
      <c r="B44" s="32" t="inlineStr"/>
      <c r="C44" s="33" t="inlineStr">
        <is>
          <t>言い終わる前に、ヨシノの拳が盗賊の顎を跳ね上げる。</t>
        </is>
      </c>
      <c r="D44" s="15" t="inlineStr"/>
      <c r="E44" s="15" t="inlineStr"/>
      <c r="F44" s="15" t="inlineStr"/>
    </row>
    <row r="45">
      <c r="A45" s="31">
        <f>IF(C45="","",LEN(C45))</f>
        <v/>
      </c>
      <c r="B45" s="32" t="inlineStr">
        <is>
          <t>ヨシノ</t>
        </is>
      </c>
      <c r="C45" s="35" t="inlineStr">
        <is>
          <t>「ご自分を、安く言わないでください!」</t>
        </is>
      </c>
      <c r="D45" s="15" t="inlineStr"/>
      <c r="E45" s="15" t="inlineStr">
        <is>
          <t>ヨシノ、初めて声を荒らげる</t>
        </is>
      </c>
      <c r="F45" s="15" t="inlineStr"/>
    </row>
    <row r="46">
      <c r="A46" s="31">
        <f>IF(C46="","",LEN(C46))</f>
        <v/>
      </c>
      <c r="B46" s="32" t="inlineStr"/>
      <c r="C46" s="33" t="inlineStr">
        <is>
          <t>三人がかりでヨシノの腕をねじ上げ、縄をかける。ミナの手首にも縄が巻かれ、硬い繊維が肌をこする。</t>
        </is>
      </c>
      <c r="D46" s="15" t="inlineStr"/>
      <c r="E46" s="15" t="inlineStr"/>
      <c r="F46" s="15" t="inlineStr"/>
    </row>
    <row r="47">
      <c r="A47" s="31">
        <f>IF(C47="","",LEN(C47))</f>
        <v/>
      </c>
      <c r="B47" s="32" t="inlineStr">
        <is>
          <t>ヨシノ</t>
        </is>
      </c>
      <c r="C47" s="35" t="inlineStr">
        <is>
          <t>「お嬢様に、触るな!」</t>
        </is>
      </c>
      <c r="D47" s="15" t="inlineStr"/>
      <c r="E47" s="15" t="inlineStr"/>
      <c r="F47" s="15" t="inlineStr"/>
    </row>
    <row r="48">
      <c r="A48" s="31">
        <f>IF(C48="","",LEN(C48))</f>
        <v/>
      </c>
      <c r="B48" s="32" t="inlineStr">
        <is>
          <t>ミナ</t>
        </is>
      </c>
      <c r="C48" s="35" t="inlineStr">
        <is>
          <t>「縄が、擦れます。傷になります」</t>
        </is>
      </c>
      <c r="D48" s="15" t="inlineStr"/>
      <c r="E48" s="34" t="inlineStr">
        <is>
          <t>★困っているのではなく、事実を言っている</t>
        </is>
      </c>
      <c r="F48" s="15" t="inlineStr"/>
    </row>
    <row r="49">
      <c r="A49" s="31">
        <f>IF(C49="","",LEN(C49))</f>
        <v/>
      </c>
      <c r="B49" s="32" t="inlineStr">
        <is>
          <t>髭の男</t>
        </is>
      </c>
      <c r="C49" s="35" t="inlineStr">
        <is>
          <t>「どれ、味見を──」</t>
        </is>
      </c>
      <c r="D49" s="15" t="inlineStr"/>
      <c r="E49" s="15" t="inlineStr">
        <is>
          <t>男の手が、ミナの襟にかかる</t>
        </is>
      </c>
      <c r="F49" s="15" t="inlineStr"/>
    </row>
    <row r="50">
      <c r="A50" s="42">
        <f>SUM(A51:A68)</f>
        <v/>
      </c>
      <c r="B50" s="43" t="inlineStr">
        <is>
          <t>山場2</t>
        </is>
      </c>
      <c r="C50" s="44">
        <f>"※"&amp;使い方!$C$7&amp;"文字以内"</f>
        <v/>
      </c>
      <c r="D50" s="45" t="n"/>
      <c r="E50" s="44">
        <f>"目安との差 "&amp;TEXT(A50-使い方!$C$7,"+0;-0;0")&amp;"字"</f>
        <v/>
      </c>
      <c r="F50" s="45" t="n"/>
    </row>
    <row r="51">
      <c r="A51" s="31">
        <f>IF(C51="","",LEN(C51))</f>
        <v/>
      </c>
      <c r="B51" s="32" t="inlineStr"/>
      <c r="C51" s="33" t="inlineStr">
        <is>
          <t>笑っていた男の顔が歪む。背後に別の男が立っている。足音はなかった。手首があらぬ向きに曲がり、悲鳴が砂に転がる。残りの盗賊は這うように逃げていく。</t>
        </is>
      </c>
      <c r="D51" s="15" t="inlineStr"/>
      <c r="E51" s="15" t="inlineStr"/>
      <c r="F51" s="15" t="inlineStr">
        <is>
          <t>ハルは姿より先に、結果で登場する</t>
        </is>
      </c>
    </row>
    <row r="52">
      <c r="A52" s="31">
        <f>IF(C52="","",LEN(C52))</f>
        <v/>
      </c>
      <c r="B52" s="32" t="inlineStr"/>
      <c r="C52" s="33" t="inlineStr">
        <is>
          <t>金属の切れ端を体じゅうに縛りつけた一団が周りを囲み、ひとりの背中に道を空けるように、左右へ分かれる。</t>
        </is>
      </c>
      <c r="D52" s="15" t="inlineStr"/>
      <c r="E52" s="15" t="inlineStr"/>
      <c r="F52" s="15" t="inlineStr"/>
    </row>
    <row r="53">
      <c r="A53" s="31">
        <f>IF(C53="","",LEN(C53))</f>
        <v/>
      </c>
      <c r="B53" s="32" t="inlineStr"/>
      <c r="C53" s="33" t="inlineStr">
        <is>
          <t>縄がほどける。青年が立っている。髪は砂埃で灰色に見えるが、洗えば淡い金色。灰青の切れ長の目。荒れた身なりのなかで、顔だけが整いすぎている。左の肩を、少し下げて立つ。</t>
        </is>
      </c>
      <c r="D53" s="15" t="inlineStr">
        <is>
          <t>ハル:王子様のような顔。左肩をかばう</t>
        </is>
      </c>
      <c r="E53" s="15" t="inlineStr"/>
      <c r="F53" s="15" t="inlineStr">
        <is>
          <t>王子様のような顔と、荒れた身なりの落差</t>
        </is>
      </c>
    </row>
    <row r="54">
      <c r="A54" s="31">
        <f>IF(C54="","",LEN(C54))</f>
        <v/>
      </c>
      <c r="B54" s="32" t="inlineStr">
        <is>
          <t>盗賊</t>
        </is>
      </c>
      <c r="C54" s="35" t="inlineStr">
        <is>
          <t>「ボス! 穴から出てきたのは、この二人だけです」</t>
        </is>
      </c>
      <c r="D54" s="15" t="inlineStr"/>
      <c r="E54" s="15" t="inlineStr"/>
      <c r="F54" s="15" t="inlineStr"/>
    </row>
    <row r="55">
      <c r="A55" s="31">
        <f>IF(C55="","",LEN(C55))</f>
        <v/>
      </c>
      <c r="B55" s="32" t="inlineStr">
        <is>
          <t>ハル</t>
        </is>
      </c>
      <c r="C55" s="35" t="inlineStr">
        <is>
          <t>「見れば分かる」</t>
        </is>
      </c>
      <c r="D55" s="15" t="inlineStr"/>
      <c r="E55" s="15" t="inlineStr"/>
      <c r="F55" s="15" t="inlineStr"/>
    </row>
    <row r="56">
      <c r="A56" s="31">
        <f>IF(C56="","",LEN(C56))</f>
        <v/>
      </c>
      <c r="B56" s="32" t="inlineStr">
        <is>
          <t>ハル</t>
        </is>
      </c>
      <c r="C56" s="35" t="inlineStr">
        <is>
          <t>「怖かったでしょう。もう大丈夫です」</t>
        </is>
      </c>
      <c r="D56" s="15" t="inlineStr"/>
      <c r="E56" s="15" t="inlineStr">
        <is>
          <t>穏やかな声。膝を折って、目の高さを合わせる</t>
        </is>
      </c>
      <c r="F56" s="15" t="inlineStr"/>
    </row>
    <row r="57">
      <c r="A57" s="31">
        <f>IF(C57="","",LEN(C57))</f>
        <v/>
      </c>
      <c r="B57" s="32" t="inlineStr"/>
      <c r="C57" s="33" t="inlineStr">
        <is>
          <t>ミナ、ハルの顔ではなく、左肩を見ている。外套の下から、少し甘くて重い、膿みかけた傷のにおい。</t>
        </is>
      </c>
      <c r="D57" s="15" t="inlineStr"/>
      <c r="E57" s="34" t="inlineStr">
        <is>
          <t>★見ているのは肩。無表情のまま</t>
        </is>
      </c>
      <c r="F57" s="15" t="inlineStr">
        <is>
          <t>傷のにおいは、2話の伏線</t>
        </is>
      </c>
    </row>
    <row r="58">
      <c r="A58" s="31">
        <f>IF(C58="","",LEN(C58))</f>
        <v/>
      </c>
      <c r="B58" s="32" t="inlineStr"/>
      <c r="C58" s="33" t="inlineStr">
        <is>
          <t>周りの男たちは、ミナの顔を見ていない。縄の跡が残る手首と、半開きの口元(歯)を見ている。</t>
        </is>
      </c>
      <c r="D58" s="15" t="inlineStr"/>
      <c r="E58" s="15" t="inlineStr"/>
      <c r="F58" s="15" t="inlineStr">
        <is>
          <t>売り物の値踏み。歯を見る</t>
        </is>
      </c>
    </row>
    <row r="59">
      <c r="A59" s="31">
        <f>IF(C59="","",LEN(C59))</f>
        <v/>
      </c>
      <c r="B59" s="32" t="inlineStr">
        <is>
          <t>ハル</t>
        </is>
      </c>
      <c r="C59" s="35" t="inlineStr">
        <is>
          <t>「あの穴から出てきたのは、君たちだけか」</t>
        </is>
      </c>
      <c r="D59" s="15" t="inlineStr"/>
      <c r="E59" s="15" t="inlineStr"/>
      <c r="F59" s="15" t="inlineStr"/>
    </row>
    <row r="60">
      <c r="A60" s="31">
        <f>IF(C60="","",LEN(C60))</f>
        <v/>
      </c>
      <c r="B60" s="32" t="inlineStr">
        <is>
          <t>ミナ</t>
        </is>
      </c>
      <c r="C60" s="35" t="inlineStr">
        <is>
          <t>「はい」</t>
        </is>
      </c>
      <c r="D60" s="15" t="inlineStr"/>
      <c r="E60" s="15" t="inlineStr"/>
      <c r="F60" s="15" t="inlineStr"/>
    </row>
    <row r="61">
      <c r="A61" s="31">
        <f>IF(C61="","",LEN(C61))</f>
        <v/>
      </c>
      <c r="B61" s="32" t="inlineStr"/>
      <c r="C61" s="33" t="inlineStr">
        <is>
          <t>ハル、小さく頷く。口の端が少し上がっている。笑っているのに、目だけが動かない。</t>
        </is>
      </c>
      <c r="D61" s="15" t="inlineStr"/>
      <c r="E61" s="15" t="inlineStr"/>
      <c r="F61" s="15" t="inlineStr"/>
    </row>
    <row r="62">
      <c r="A62" s="31">
        <f>IF(C62="","",LEN(C62))</f>
        <v/>
      </c>
      <c r="B62" s="32" t="inlineStr">
        <is>
          <t>ハル</t>
        </is>
      </c>
      <c r="C62" s="41" t="inlineStr">
        <is>
          <t>「そうか。……縛り直せ。丁寧にな」</t>
        </is>
      </c>
      <c r="D62" s="15" t="inlineStr"/>
      <c r="E62" s="15" t="inlineStr"/>
      <c r="F62" s="15" t="inlineStr">
        <is>
          <t>助けたのではなかった(魅せゴマ)</t>
        </is>
      </c>
    </row>
    <row r="63">
      <c r="A63" s="31">
        <f>IF(C63="","",LEN(C63))</f>
        <v/>
      </c>
      <c r="B63" s="32" t="inlineStr"/>
      <c r="C63" s="33" t="inlineStr">
        <is>
          <t>ほどけたばかりの縄が、また手首に食いこむ。</t>
        </is>
      </c>
      <c r="D63" s="15" t="inlineStr"/>
      <c r="E63" s="15" t="inlineStr"/>
      <c r="F63" s="15" t="inlineStr"/>
    </row>
    <row r="64">
      <c r="A64" s="31">
        <f>IF(C64="","",LEN(C64))</f>
        <v/>
      </c>
      <c r="B64" s="32" t="inlineStr">
        <is>
          <t>ミナ</t>
        </is>
      </c>
      <c r="C64" s="35" t="inlineStr">
        <is>
          <t>「助けてくださったのでは、ないのですね」</t>
        </is>
      </c>
      <c r="D64" s="15" t="inlineStr"/>
      <c r="E64" s="34" t="inlineStr">
        <is>
          <t>★確認。落胆も怒りもない</t>
        </is>
      </c>
      <c r="F64" s="15" t="inlineStr"/>
    </row>
    <row r="65">
      <c r="A65" s="31">
        <f>IF(C65="","",LEN(C65))</f>
        <v/>
      </c>
      <c r="B65" s="32" t="inlineStr"/>
      <c r="C65" s="33" t="inlineStr">
        <is>
          <t>ヨシノ、腹を殴られて膝をつく。</t>
        </is>
      </c>
      <c r="D65" s="15" t="inlineStr"/>
      <c r="E65" s="15" t="inlineStr"/>
      <c r="F65" s="15" t="inlineStr"/>
    </row>
    <row r="66">
      <c r="A66" s="31">
        <f>IF(C66="","",LEN(C66))</f>
        <v/>
      </c>
      <c r="B66" s="32" t="inlineStr">
        <is>
          <t>ロクゾウ</t>
        </is>
      </c>
      <c r="C66" s="35" t="inlineStr">
        <is>
          <t>「二人。……うん、数は合う。これで今夜は眠れる」</t>
        </is>
      </c>
      <c r="D66" s="15" t="inlineStr">
        <is>
          <t>ロクゾウ:痩せた男。指を折って数える</t>
        </is>
      </c>
      <c r="E66" s="15" t="inlineStr"/>
      <c r="F66" s="15" t="inlineStr">
        <is>
          <t>数える癖は、ロクゾウだけ</t>
        </is>
      </c>
    </row>
    <row r="67">
      <c r="A67" s="31">
        <f>IF(C67="","",LEN(C67))</f>
        <v/>
      </c>
      <c r="B67" s="32" t="inlineStr">
        <is>
          <t>ロクゾウ</t>
        </is>
      </c>
      <c r="C67" s="35" t="inlineStr">
        <is>
          <t>「お嬢さん方、ここじゃ人は荷物だ。荷物には値がつく。悪く思うなよ」</t>
        </is>
      </c>
      <c r="D67" s="15" t="inlineStr"/>
      <c r="E67" s="15" t="inlineStr"/>
      <c r="F67" s="15" t="inlineStr"/>
    </row>
    <row r="68">
      <c r="A68" s="31">
        <f>IF(C68="","",LEN(C68))</f>
        <v/>
      </c>
      <c r="B68" s="32" t="inlineStr">
        <is>
          <t>ハル</t>
        </is>
      </c>
      <c r="C68" s="35" t="inlineStr">
        <is>
          <t>「余計なことを言うな」</t>
        </is>
      </c>
      <c r="D68" s="15" t="inlineStr"/>
      <c r="E68" s="15" t="inlineStr">
        <is>
          <t>ロクゾウ、口をつぐむ</t>
        </is>
      </c>
      <c r="F68" s="15" t="inlineStr"/>
    </row>
    <row r="69">
      <c r="A69" s="46">
        <f>SUM(A70:A80)</f>
        <v/>
      </c>
      <c r="B69" s="47" t="inlineStr">
        <is>
          <t>ヒキ</t>
        </is>
      </c>
      <c r="C69" s="48">
        <f>"※"&amp;使い方!$C$8&amp;"文字以内"</f>
        <v/>
      </c>
      <c r="D69" s="49" t="n"/>
      <c r="E69" s="48">
        <f>"目安との差 "&amp;TEXT(A69-使い方!$C$8,"+0;-0;0")&amp;"字"</f>
        <v/>
      </c>
      <c r="F69" s="49" t="n"/>
    </row>
    <row r="70">
      <c r="A70" s="31">
        <f>IF(C70="","",LEN(C70))</f>
        <v/>
      </c>
      <c r="B70" s="32" t="inlineStr"/>
      <c r="C70" s="33" t="inlineStr">
        <is>
          <t>ハルが立ち上がり、ミナへ歩く。左肩をかばう、ゆっくりした歩き方。砂を踏む音だけが近づく。風が止む。</t>
        </is>
      </c>
      <c r="D70" s="15" t="inlineStr"/>
      <c r="E70" s="15" t="inlineStr">
        <is>
          <t>手下の唾を飲む音まで聞こえる</t>
        </is>
      </c>
      <c r="F70" s="15" t="inlineStr"/>
    </row>
    <row r="71">
      <c r="A71" s="31">
        <f>IF(C71="","",LEN(C71))</f>
        <v/>
      </c>
      <c r="B71" s="32" t="inlineStr"/>
      <c r="C71" s="33" t="inlineStr">
        <is>
          <t>ヨシノは膝をついたまま、ハルを睨んでいる。</t>
        </is>
      </c>
      <c r="D71" s="15" t="inlineStr"/>
      <c r="E71" s="15" t="inlineStr"/>
      <c r="F71" s="15" t="inlineStr"/>
    </row>
    <row r="72">
      <c r="A72" s="31">
        <f>IF(C72="","",LEN(C72))</f>
        <v/>
      </c>
      <c r="B72" s="32" t="inlineStr">
        <is>
          <t>ヨシノ</t>
        </is>
      </c>
      <c r="C72" s="35" t="inlineStr">
        <is>
          <t>「お嬢様、下がってください」</t>
        </is>
      </c>
      <c r="D72" s="15" t="inlineStr"/>
      <c r="E72" s="15" t="inlineStr">
        <is>
          <t>縛られたまま、体でミナの前に出ようとする</t>
        </is>
      </c>
      <c r="F72" s="15" t="inlineStr"/>
    </row>
    <row r="73">
      <c r="A73" s="31">
        <f>IF(C73="","",LEN(C73))</f>
        <v/>
      </c>
      <c r="B73" s="32" t="inlineStr"/>
      <c r="C73" s="33" t="inlineStr">
        <is>
          <t>ミナは動かない。ハルの手から、目を離さない。</t>
        </is>
      </c>
      <c r="D73" s="15" t="inlineStr"/>
      <c r="E73" s="15" t="inlineStr"/>
      <c r="F73" s="15" t="inlineStr"/>
    </row>
    <row r="74">
      <c r="A74" s="31">
        <f>IF(C74="","",LEN(C74))</f>
        <v/>
      </c>
      <c r="B74" s="32" t="inlineStr"/>
      <c r="C74" s="33" t="inlineStr">
        <is>
          <t>ハルの影が、ミナの膝に落ちる。近くで見る唇は乾いて割れ、目の下に濃い翳がある。きれいな顔の下で、何かが削れている。</t>
        </is>
      </c>
      <c r="D74" s="15" t="inlineStr"/>
      <c r="E74" s="15" t="inlineStr">
        <is>
          <t>ミナが見ているのは、顔の下の疲れ</t>
        </is>
      </c>
      <c r="F74" s="15" t="inlineStr"/>
    </row>
    <row r="75">
      <c r="A75" s="31">
        <f>IF(C75="","",LEN(C75))</f>
        <v/>
      </c>
      <c r="B75" s="32" t="inlineStr"/>
      <c r="C75" s="50" t="inlineStr">
        <is>
          <t>ハルが膝をつき、手を伸ばす。ミナの頬の手前で止まる。爪の間が黒い。割れた爪の下に、乾いていない赤。</t>
        </is>
      </c>
      <c r="D75" s="15" t="inlineStr"/>
      <c r="E75" s="15" t="inlineStr">
        <is>
          <t>手のアップ</t>
        </is>
      </c>
      <c r="F75" s="15" t="inlineStr">
        <is>
          <t>スーパーカット(手のアップ)</t>
        </is>
      </c>
    </row>
    <row r="76">
      <c r="A76" s="31">
        <f>IF(C76="","",LEN(C76))</f>
        <v/>
      </c>
      <c r="B76" s="32" t="inlineStr">
        <is>
          <t>ミナ</t>
        </is>
      </c>
      <c r="C76" s="41" t="inlineStr">
        <is>
          <t>「その手で、私に触らないでください」</t>
        </is>
      </c>
      <c r="D76" s="15" t="inlineStr"/>
      <c r="E76" s="15" t="inlineStr">
        <is>
          <t>平熱。身を引かない</t>
        </is>
      </c>
      <c r="F76" s="15" t="inlineStr">
        <is>
          <t>決め台詞(魅せゴマ)</t>
        </is>
      </c>
    </row>
    <row r="77">
      <c r="A77" s="31">
        <f>IF(C77="","",LEN(C77))</f>
        <v/>
      </c>
      <c r="B77" s="32" t="inlineStr">
        <is>
          <t>ミナ</t>
        </is>
      </c>
      <c r="C77" s="35" t="inlineStr">
        <is>
          <t>「泥と、古い血がついています。……あなたの肩、中で腐っています。これ以上、菌を散らさないでください」</t>
        </is>
      </c>
      <c r="D77" s="15" t="inlineStr"/>
      <c r="E77" s="15" t="inlineStr"/>
      <c r="F77" s="15" t="inlineStr"/>
    </row>
    <row r="78">
      <c r="A78" s="31">
        <f>IF(C78="","",LEN(C78))</f>
        <v/>
      </c>
      <c r="B78" s="32" t="inlineStr"/>
      <c r="C78" s="33" t="inlineStr">
        <is>
          <t>ヨシノは口を開けたまま。手下たちは動かない。ハル、固まる。</t>
        </is>
      </c>
      <c r="D78" s="15" t="inlineStr"/>
      <c r="E78" s="34" t="inlineStr">
        <is>
          <t>★生まれて初めて、命令でも暴力でも人が止まらない</t>
        </is>
      </c>
      <c r="F78" s="15" t="inlineStr"/>
    </row>
    <row r="79">
      <c r="A79" s="31">
        <f>IF(C79="","",LEN(C79))</f>
        <v/>
      </c>
      <c r="B79" s="32" t="inlineStr">
        <is>
          <t>ロクゾウ</t>
        </is>
      </c>
      <c r="C79" s="35" t="inlineStr">
        <is>
          <t>「……終わった」</t>
        </is>
      </c>
      <c r="D79" s="15" t="inlineStr"/>
      <c r="E79" s="15" t="inlineStr"/>
      <c r="F79" s="15" t="inlineStr"/>
    </row>
    <row r="80">
      <c r="A80" s="31">
        <f>IF(C80="","",LEN(C80))</f>
        <v/>
      </c>
      <c r="B80" s="32" t="inlineStr"/>
      <c r="C80" s="33" t="inlineStr">
        <is>
          <t>ハル、怒らず、伸ばした手をゆっくりと引く。</t>
        </is>
      </c>
      <c r="D80" s="15" t="inlineStr"/>
      <c r="E80" s="15" t="inlineStr"/>
      <c r="F80" s="15" t="inlineStr">
        <is>
          <t>1話の引き(確定)</t>
        </is>
      </c>
    </row>
    <row r="82">
      <c r="B82" s="10" t="inlineStr">
        <is>
          <t>合計</t>
        </is>
      </c>
      <c r="C82" s="10">
        <f>(A5+A21+A50+A69)&amp;"字(目安 "&amp;使い方!$C$9&amp;"〜"&amp;使い方!$C$10&amp;"字)"</f>
        <v/>
      </c>
    </row>
  </sheetData>
  <mergeCells count="2">
    <mergeCell ref="B2:F2"/>
    <mergeCell ref="B1:C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62" customWidth="1" min="3" max="3"/>
    <col width="30" customWidth="1" min="4" max="4"/>
    <col width="34" customWidth="1" min="5" max="5"/>
    <col width="34" customWidth="1" min="6" max="6"/>
  </cols>
  <sheetData>
    <row r="1">
      <c r="A1" s="6" t="inlineStr">
        <is>
          <t>サブタイトル</t>
        </is>
      </c>
      <c r="B1" s="21" t="inlineStr"/>
    </row>
    <row r="2" ht="34" customHeight="1">
      <c r="A2" s="22" t="inlineStr">
        <is>
          <t>話の目的／
見せたいもの</t>
        </is>
      </c>
      <c r="B2" s="23" t="inlineStr"/>
    </row>
    <row r="4" ht="72" customHeight="1">
      <c r="A4" s="24">
        <f>"文字数"&amp;CHAR(10)&amp;(A5+A9+A13+A17)</f>
        <v/>
      </c>
      <c r="B4" s="24">
        <f>"セリフ数:"&amp;CHAR(10)&amp;COUNTIF(C6:C20,"「*")</f>
        <v/>
      </c>
      <c r="C4" s="25" t="inlineStr">
        <is>
          <t>シナリオ内容(2〜3000文字程度)
※赤字=魅せゴマ・キメ台詞(導入・山場・ヒキに各1つ以上)
※青字=この話で一番の見せ場(1つ)
※心情は、台詞と演技で書く</t>
        </is>
      </c>
      <c r="D4" s="26" t="inlineStr">
        <is>
          <t>キャラ情報
場所・時間・背景など
※場面が変わるときに書く</t>
        </is>
      </c>
      <c r="E4" s="26" t="inlineStr">
        <is>
          <t>心情・表情・演出プラン
※台詞とト書きで描き切れない心情や演出があれば</t>
        </is>
      </c>
      <c r="F4" s="26" t="inlineStr">
        <is>
          <t>その他備考
※補足、イメージなど</t>
        </is>
      </c>
    </row>
    <row r="5">
      <c r="A5" s="27">
        <f>SUM(A6:A8)</f>
        <v/>
      </c>
      <c r="B5" s="28" t="inlineStr">
        <is>
          <t>導入</t>
        </is>
      </c>
      <c r="C5" s="29">
        <f>"※"&amp;使い方!$C$5&amp;"文字以内"</f>
        <v/>
      </c>
      <c r="D5" s="30" t="n"/>
      <c r="E5" s="29">
        <f>"目安との差 "&amp;TEXT(A5-使い方!$C$5,"+0;-0;0")&amp;"字"</f>
        <v/>
      </c>
      <c r="F5" s="30" t="n"/>
    </row>
    <row r="6">
      <c r="A6" s="31">
        <f>IF(C6="","",LEN(C6))</f>
        <v/>
      </c>
      <c r="B6" s="32" t="n"/>
      <c r="C6" s="33" t="n"/>
      <c r="D6" s="15" t="n"/>
      <c r="E6" s="15" t="n"/>
      <c r="F6" s="15" t="n"/>
    </row>
    <row r="7">
      <c r="A7" s="31">
        <f>IF(C7="","",LEN(C7))</f>
        <v/>
      </c>
      <c r="B7" s="32" t="n"/>
      <c r="C7" s="33" t="n"/>
      <c r="D7" s="15" t="n"/>
      <c r="E7" s="15" t="n"/>
      <c r="F7" s="15" t="n"/>
    </row>
    <row r="8">
      <c r="A8" s="31">
        <f>IF(C8="","",LEN(C8))</f>
        <v/>
      </c>
      <c r="B8" s="32" t="n"/>
      <c r="C8" s="33" t="n"/>
      <c r="D8" s="15" t="n"/>
      <c r="E8" s="15" t="n"/>
      <c r="F8" s="15" t="n"/>
    </row>
    <row r="9">
      <c r="A9" s="37">
        <f>SUM(A10:A12)</f>
        <v/>
      </c>
      <c r="B9" s="38" t="inlineStr">
        <is>
          <t>山場1</t>
        </is>
      </c>
      <c r="C9" s="39">
        <f>"※"&amp;使い方!$C$6&amp;"文字以内"</f>
        <v/>
      </c>
      <c r="D9" s="40" t="n"/>
      <c r="E9" s="39">
        <f>"目安との差 "&amp;TEXT(A9-使い方!$C$6,"+0;-0;0")&amp;"字"</f>
        <v/>
      </c>
      <c r="F9" s="40" t="n"/>
    </row>
    <row r="10">
      <c r="A10" s="31">
        <f>IF(C10="","",LEN(C10))</f>
        <v/>
      </c>
      <c r="B10" s="32" t="n"/>
      <c r="C10" s="33" t="n"/>
      <c r="D10" s="15" t="n"/>
      <c r="E10" s="15" t="n"/>
      <c r="F10" s="15" t="n"/>
    </row>
    <row r="11">
      <c r="A11" s="31">
        <f>IF(C11="","",LEN(C11))</f>
        <v/>
      </c>
      <c r="B11" s="32" t="n"/>
      <c r="C11" s="33" t="n"/>
      <c r="D11" s="15" t="n"/>
      <c r="E11" s="15" t="n"/>
      <c r="F11" s="15" t="n"/>
    </row>
    <row r="12">
      <c r="A12" s="31">
        <f>IF(C12="","",LEN(C12))</f>
        <v/>
      </c>
      <c r="B12" s="32" t="n"/>
      <c r="C12" s="33" t="n"/>
      <c r="D12" s="15" t="n"/>
      <c r="E12" s="15" t="n"/>
      <c r="F12" s="15" t="n"/>
    </row>
    <row r="13">
      <c r="A13" s="42">
        <f>SUM(A14:A16)</f>
        <v/>
      </c>
      <c r="B13" s="43" t="inlineStr">
        <is>
          <t>山場2</t>
        </is>
      </c>
      <c r="C13" s="44">
        <f>"※"&amp;使い方!$C$7&amp;"文字以内"</f>
        <v/>
      </c>
      <c r="D13" s="45" t="n"/>
      <c r="E13" s="44">
        <f>"目安との差 "&amp;TEXT(A13-使い方!$C$7,"+0;-0;0")&amp;"字"</f>
        <v/>
      </c>
      <c r="F13" s="45" t="n"/>
    </row>
    <row r="14">
      <c r="A14" s="31">
        <f>IF(C14="","",LEN(C14))</f>
        <v/>
      </c>
      <c r="B14" s="32" t="n"/>
      <c r="C14" s="33" t="n"/>
      <c r="D14" s="15" t="n"/>
      <c r="E14" s="15" t="n"/>
      <c r="F14" s="15" t="n"/>
    </row>
    <row r="15">
      <c r="A15" s="31">
        <f>IF(C15="","",LEN(C15))</f>
        <v/>
      </c>
      <c r="B15" s="32" t="n"/>
      <c r="C15" s="33" t="n"/>
      <c r="D15" s="15" t="n"/>
      <c r="E15" s="15" t="n"/>
      <c r="F15" s="15" t="n"/>
    </row>
    <row r="16">
      <c r="A16" s="31">
        <f>IF(C16="","",LEN(C16))</f>
        <v/>
      </c>
      <c r="B16" s="32" t="n"/>
      <c r="C16" s="33" t="n"/>
      <c r="D16" s="15" t="n"/>
      <c r="E16" s="15" t="n"/>
      <c r="F16" s="15" t="n"/>
    </row>
    <row r="17">
      <c r="A17" s="46">
        <f>SUM(A18:A20)</f>
        <v/>
      </c>
      <c r="B17" s="47" t="inlineStr">
        <is>
          <t>ヒキ</t>
        </is>
      </c>
      <c r="C17" s="48">
        <f>"※"&amp;使い方!$C$8&amp;"文字以内"</f>
        <v/>
      </c>
      <c r="D17" s="49" t="n"/>
      <c r="E17" s="48">
        <f>"目安との差 "&amp;TEXT(A17-使い方!$C$8,"+0;-0;0")&amp;"字"</f>
        <v/>
      </c>
      <c r="F17" s="49" t="n"/>
    </row>
    <row r="18">
      <c r="A18" s="31">
        <f>IF(C18="","",LEN(C18))</f>
        <v/>
      </c>
      <c r="B18" s="32" t="n"/>
      <c r="C18" s="33" t="n"/>
      <c r="D18" s="15" t="n"/>
      <c r="E18" s="15" t="n"/>
      <c r="F18" s="15" t="n"/>
    </row>
    <row r="19">
      <c r="A19" s="31">
        <f>IF(C19="","",LEN(C19))</f>
        <v/>
      </c>
      <c r="B19" s="32" t="n"/>
      <c r="C19" s="33" t="n"/>
      <c r="D19" s="15" t="n"/>
      <c r="E19" s="15" t="n"/>
      <c r="F19" s="15" t="n"/>
    </row>
    <row r="20">
      <c r="A20" s="31">
        <f>IF(C20="","",LEN(C20))</f>
        <v/>
      </c>
      <c r="B20" s="32" t="n"/>
      <c r="C20" s="33" t="n"/>
      <c r="D20" s="15" t="n"/>
      <c r="E20" s="15" t="n"/>
      <c r="F20" s="15" t="n"/>
    </row>
    <row r="22">
      <c r="B22" s="10" t="inlineStr">
        <is>
          <t>合計</t>
        </is>
      </c>
      <c r="C22" s="10">
        <f>(A5+A9+A13+A17)&amp;"字(目安 "&amp;使い方!$C$9&amp;"〜"&amp;使い方!$C$10&amp;"字)"</f>
        <v/>
      </c>
    </row>
  </sheetData>
  <mergeCells count="2">
    <mergeCell ref="B2:F2"/>
    <mergeCell ref="B1:C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2026-10-25T20:32:57Z</dcterms:created>
  <dcterms:modified xmlns:dcterms="http://purl.org/dc/terms/" xmlns:xsi="http://www.w3.org/2001/XMLSchema-instance" xsi:type="dcterms:W3CDTF">2026-10-25T20:32:57Z</dcterms:modified>
</cp:coreProperties>
</file>